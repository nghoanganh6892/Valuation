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K:\RMD\MCRMD\INTERNAL\40. RISK MANAGEMENT\40. VALUATION\04. DOCUMENT\Ver 1\Final\"/>
    </mc:Choice>
  </mc:AlternateContent>
  <bookViews>
    <workbookView xWindow="0" yWindow="0" windowWidth="28800" windowHeight="12450" tabRatio="668" activeTab="6"/>
  </bookViews>
  <sheets>
    <sheet name="MAIN" sheetId="1" r:id="rId1"/>
    <sheet name="1. Description" sheetId="2" r:id="rId2"/>
    <sheet name="2. Model inputs" sheetId="3" r:id="rId3"/>
    <sheet name="3. Unobservable inputs" sheetId="4" r:id="rId4"/>
    <sheet name="4. Fair Value Level" sheetId="5" r:id="rId5"/>
    <sheet name="5. Calculation formulas" sheetId="6" r:id="rId6"/>
    <sheet name="6. Example" sheetId="7" r:id="rId7"/>
  </sheets>
  <definedNames>
    <definedName name="_xlnm.Print_Area" localSheetId="0">MAIN!$A$1:$I$35</definedName>
  </definedName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E46" i="7" l="1"/>
  <c r="E45" i="7"/>
  <c r="H39" i="7"/>
  <c r="H38" i="7"/>
  <c r="I39" i="7"/>
  <c r="I38" i="7"/>
  <c r="G32" i="7"/>
  <c r="G31" i="7"/>
  <c r="D32" i="7"/>
  <c r="D31" i="7"/>
  <c r="B31" i="7"/>
  <c r="J38" i="7"/>
  <c r="F45" i="7" s="1"/>
  <c r="D52" i="7" s="1"/>
  <c r="E31" i="7"/>
  <c r="K38" i="7" s="1"/>
  <c r="B32" i="7"/>
  <c r="H32" i="7" s="1"/>
  <c r="F31" i="7"/>
  <c r="D46" i="7"/>
  <c r="D45" i="7"/>
  <c r="C31" i="7" l="1"/>
  <c r="H31" i="7"/>
  <c r="G45" i="7" s="1"/>
  <c r="E52" i="7" s="1"/>
  <c r="C32" i="7"/>
  <c r="F32" i="7"/>
  <c r="E32" i="7" l="1"/>
  <c r="B3" i="3" l="1"/>
  <c r="K37" i="7" l="1"/>
  <c r="J37" i="7"/>
  <c r="J39" i="7"/>
  <c r="F46" i="7" s="1"/>
  <c r="D53" i="7" s="1"/>
  <c r="K39" i="7" l="1"/>
  <c r="G46" i="7" s="1"/>
  <c r="E53" i="7" s="1"/>
  <c r="B3" i="7"/>
  <c r="B3" i="6"/>
  <c r="B3" i="5"/>
  <c r="B3" i="4"/>
  <c r="B3" i="2"/>
  <c r="C57" i="7" l="1"/>
</calcChain>
</file>

<file path=xl/sharedStrings.xml><?xml version="1.0" encoding="utf-8"?>
<sst xmlns="http://schemas.openxmlformats.org/spreadsheetml/2006/main" count="162" uniqueCount="148">
  <si>
    <t>Market Risk Management</t>
  </si>
  <si>
    <t>Applicable for products:</t>
  </si>
  <si>
    <t>Model developed by:</t>
  </si>
  <si>
    <t>Input name</t>
  </si>
  <si>
    <t>Reference to market data</t>
  </si>
  <si>
    <t>Observable inputs *</t>
  </si>
  <si>
    <t>Unobservable inputs **</t>
  </si>
  <si>
    <t>Description</t>
  </si>
  <si>
    <t>(see explanation below)</t>
  </si>
  <si>
    <t>Observable and unobservable inputs</t>
  </si>
  <si>
    <t>Unobservable inputs derivation</t>
  </si>
  <si>
    <t>Unobservable inputs monitoring</t>
  </si>
  <si>
    <t>[what are the conditions for re-concideration of unobservable inputs]</t>
  </si>
  <si>
    <t>Fair value level concideration</t>
  </si>
  <si>
    <t>Rationals:</t>
  </si>
  <si>
    <t>Formulas for fair value calculation</t>
  </si>
  <si>
    <t>Example</t>
  </si>
  <si>
    <t>[Example description]</t>
  </si>
  <si>
    <t>Assumed input parameters</t>
  </si>
  <si>
    <t>Calculation</t>
  </si>
  <si>
    <t>Desciption</t>
  </si>
  <si>
    <t>Model uncertainties and risk</t>
  </si>
  <si>
    <t>version 0.1</t>
  </si>
  <si>
    <t>Approved by:</t>
  </si>
  <si>
    <t>Approval date:</t>
  </si>
  <si>
    <t>Next review date:</t>
  </si>
  <si>
    <t>tbd</t>
  </si>
  <si>
    <t>Linh Le Thi (RMD - CMD) &lt;linhlt5@vpbank.com.vn&gt;</t>
  </si>
  <si>
    <t>RCO</t>
  </si>
  <si>
    <t>Content</t>
  </si>
  <si>
    <t>1. Description</t>
  </si>
  <si>
    <t>5. Calculation formulas</t>
  </si>
  <si>
    <t>2. Model inputs</t>
  </si>
  <si>
    <t>6. Example</t>
  </si>
  <si>
    <t>3. Unobservable inputs</t>
  </si>
  <si>
    <t>4. Fair value level</t>
  </si>
  <si>
    <t>USD zero curve</t>
  </si>
  <si>
    <r>
      <rPr>
        <b/>
        <i/>
        <sz val="12"/>
        <color theme="1"/>
        <rFont val="Arial"/>
        <family val="2"/>
      </rPr>
      <t xml:space="preserve">Observable inputs *: </t>
    </r>
    <r>
      <rPr>
        <sz val="12"/>
        <color theme="1"/>
        <rFont val="Arial"/>
        <family val="2"/>
      </rPr>
      <t>Observable inputs are valuation inputs seen at an outside source available to market participants. Examples of observable valuation inputs are:
- market quotes;
- quoted curves;
- calculated curves derived from quoted curves;
- derived curves (for example derived zero curves) under the condition that only widely accepted calculation methods are used.</t>
    </r>
    <r>
      <rPr>
        <b/>
        <i/>
        <sz val="12"/>
        <color theme="1"/>
        <rFont val="Arial"/>
        <family val="2"/>
      </rPr>
      <t xml:space="preserve">
</t>
    </r>
    <r>
      <rPr>
        <sz val="12"/>
        <color theme="1"/>
        <rFont val="Arial"/>
        <family val="2"/>
      </rPr>
      <t xml:space="preserve">
</t>
    </r>
    <r>
      <rPr>
        <b/>
        <i/>
        <sz val="12"/>
        <color theme="1"/>
        <rFont val="Arial"/>
        <family val="2"/>
      </rPr>
      <t>Unobservable inputs **:</t>
    </r>
    <r>
      <rPr>
        <sz val="12"/>
        <color theme="1"/>
        <rFont val="Arial"/>
        <family val="2"/>
      </rPr>
      <t xml:space="preserve"> Unobservable inputs are valuation inputs that are not available on the market, but produced by the institution. Examples of unobservable valuation inputs are:
- internal ratings and related probabilities of default;
- derived curves with the usage of non standard methods;
- valuation statements provided by 3rd parties.
</t>
    </r>
  </si>
  <si>
    <t>The application of the model will result in: Fair Value Level 2</t>
  </si>
  <si>
    <t>EUR zero curve</t>
  </si>
  <si>
    <t>This model does not have any unobservable imputs.</t>
  </si>
  <si>
    <t>where:</t>
  </si>
  <si>
    <t>where:
DF(0,t1): discounted factor at t1
DF(0,t2): discounted factor at t2
t2, t1: tenor of reference interest rate
r: forward rate</t>
  </si>
  <si>
    <r>
      <rPr>
        <b/>
        <sz val="12"/>
        <color theme="1"/>
        <rFont val="Arial"/>
        <family val="2"/>
      </rPr>
      <t>Forward rate</t>
    </r>
    <r>
      <rPr>
        <sz val="12"/>
        <color theme="1"/>
        <rFont val="Arial"/>
        <family val="2"/>
      </rPr>
      <t xml:space="preserve"> is an interest rate calculated based on certain curves for rest payment periods of floating interest rate contracts.
</t>
    </r>
  </si>
  <si>
    <t>Present value of cash flow:</t>
  </si>
  <si>
    <t>CF stands for cash flows</t>
  </si>
  <si>
    <t>Tenor</t>
  </si>
  <si>
    <t>Principal amount</t>
  </si>
  <si>
    <t>Fixed rate</t>
  </si>
  <si>
    <t>Floating rate</t>
  </si>
  <si>
    <t>VPBank</t>
  </si>
  <si>
    <t>Interest payment</t>
  </si>
  <si>
    <t>Day count convention</t>
  </si>
  <si>
    <t>Act/360</t>
  </si>
  <si>
    <t>Contract information:</t>
  </si>
  <si>
    <t>USD</t>
  </si>
  <si>
    <t>Start date</t>
  </si>
  <si>
    <t>End date</t>
  </si>
  <si>
    <t>Step 1a. Identify cash flow for floating leg</t>
  </si>
  <si>
    <t>Time remaining (days)</t>
  </si>
  <si>
    <t>1M</t>
  </si>
  <si>
    <t>2M</t>
  </si>
  <si>
    <t>Evaluation date</t>
  </si>
  <si>
    <t>3M</t>
  </si>
  <si>
    <t>6M</t>
  </si>
  <si>
    <t>9M</t>
  </si>
  <si>
    <t>Step 2a. Calculation of present value of future cash flows</t>
  </si>
  <si>
    <t>1Y</t>
  </si>
  <si>
    <t>2Y</t>
  </si>
  <si>
    <t>Notional amount's feature</t>
  </si>
  <si>
    <t>The valuation model mostly consist of observable valuation inputs direct or indirectly, well known to other market participants and directly observed on the market.</t>
  </si>
  <si>
    <t>Valuation model for CCS</t>
  </si>
  <si>
    <t>CSS</t>
  </si>
  <si>
    <t>Cross currency swaps</t>
  </si>
  <si>
    <t>USD-VND</t>
  </si>
  <si>
    <t>pay floating &amp; receive fixed</t>
  </si>
  <si>
    <t>Exchange rate</t>
  </si>
  <si>
    <t>Currencies</t>
  </si>
  <si>
    <t>USD Spot rate</t>
  </si>
  <si>
    <t>VND spot rate</t>
  </si>
  <si>
    <t>DF USD</t>
  </si>
  <si>
    <t>DF VND</t>
  </si>
  <si>
    <t>Pay Principal amt</t>
  </si>
  <si>
    <t>CCY</t>
  </si>
  <si>
    <t>VND</t>
  </si>
  <si>
    <t>Receive Principal amt</t>
  </si>
  <si>
    <t>Pay interest amt</t>
  </si>
  <si>
    <t xml:space="preserve">Receive interest amt </t>
  </si>
  <si>
    <t>Total inflow</t>
  </si>
  <si>
    <t>Total outflow</t>
  </si>
  <si>
    <t>PV of inflow</t>
  </si>
  <si>
    <t>PV of outflow</t>
  </si>
  <si>
    <t>Step 3a. Convert present value into one currency</t>
  </si>
  <si>
    <t>PV of inflow in VND</t>
  </si>
  <si>
    <t>PV of outflow in VND</t>
  </si>
  <si>
    <t>Step 3b: Finalization</t>
  </si>
  <si>
    <t>stepped down</t>
  </si>
  <si>
    <t>Fair value of CCS in VND</t>
  </si>
  <si>
    <t xml:space="preserve">Since the discounted cash flows approach is globally used method of IRS pricing, model uncertainties are negligible. The valuation uncertainties are limited to those driven by interpolation of valuation curve and are generally assessed as low. 
Model risk is due to the lack of availability of VND swap curve in Vietnam market. Therefore, VND zero curve is derived from VND curve by using bootstrapping.
</t>
  </si>
  <si>
    <r>
      <t>The valuation model is a classical discounted cash flows model.
The computation process consist from 2 steps:</t>
    </r>
    <r>
      <rPr>
        <b/>
        <sz val="12"/>
        <color theme="1"/>
        <rFont val="Arial"/>
        <family val="2"/>
      </rPr>
      <t xml:space="preserve">
Step1</t>
    </r>
    <r>
      <rPr>
        <sz val="12"/>
        <color theme="1"/>
        <rFont val="Arial"/>
        <family val="2"/>
      </rPr>
      <t xml:space="preserve">: estimation of all cash flows that occur after the evaluation date and till the final maturity (using zero rate to identify forward rate, if necessary).
</t>
    </r>
    <r>
      <rPr>
        <b/>
        <sz val="12"/>
        <color theme="1"/>
        <rFont val="Arial"/>
        <family val="2"/>
      </rPr>
      <t>Step 2</t>
    </r>
    <r>
      <rPr>
        <sz val="12"/>
        <color theme="1"/>
        <rFont val="Arial"/>
        <family val="2"/>
      </rPr>
      <t xml:space="preserve">: mapping of cash flows to discount factors derived from zero curves (refer to model inputs) and computation of discounted cash flows as a product of future cash flows and discount rate. 
</t>
    </r>
    <r>
      <rPr>
        <b/>
        <sz val="12"/>
        <color theme="1"/>
        <rFont val="Arial"/>
        <family val="2"/>
      </rPr>
      <t>Step 3</t>
    </r>
    <r>
      <rPr>
        <sz val="12"/>
        <color theme="1"/>
        <rFont val="Arial"/>
        <family val="2"/>
      </rPr>
      <t xml:space="preserve">: convert the second currency to the first currency using spot rate. The sum of discounted cash flows after converting is present value of these cash flows.
</t>
    </r>
    <r>
      <rPr>
        <b/>
        <sz val="12"/>
        <color theme="1"/>
        <rFont val="Arial"/>
        <family val="2"/>
      </rPr>
      <t/>
    </r>
  </si>
  <si>
    <t>CAD zero coupon yield curve</t>
  </si>
  <si>
    <t>CNY zero coupon yield curve</t>
  </si>
  <si>
    <t>USD discount curve</t>
  </si>
  <si>
    <t>EUR discount curve</t>
  </si>
  <si>
    <t xml:space="preserve">Discount factor of USD discount rate </t>
  </si>
  <si>
    <t>Exchange rate at 31 Jul 2017</t>
  </si>
  <si>
    <t>VND discount curve &amp; zero curve</t>
  </si>
  <si>
    <t>CHF discount curve &amp; zero curve</t>
  </si>
  <si>
    <t>CAD discount curve &amp; zero curve</t>
  </si>
  <si>
    <t>CNY discount curve &amp; zero curve</t>
  </si>
  <si>
    <t>SGD discount curve &amp; zero curve</t>
  </si>
  <si>
    <t>AUD discount curve &amp; zero curve</t>
  </si>
  <si>
    <t>JPY discount curve &amp; zero curve</t>
  </si>
  <si>
    <t>GBP discount curve &amp; zero curve</t>
  </si>
  <si>
    <t>THB discount curve &amp; zero curve</t>
  </si>
  <si>
    <t>HKD discount curve &amp; zero curve</t>
  </si>
  <si>
    <t>Note:</t>
  </si>
  <si>
    <t>USD semi bond 1M Libor zero coupon yield curve</t>
  </si>
  <si>
    <t>USD semi bond 3M Libor zero coupon yield curve</t>
  </si>
  <si>
    <t>USD semi bond 6M Libor zero coupon yield curve</t>
  </si>
  <si>
    <t>USD semi bond 1Y Libor zero coupon yield curve</t>
  </si>
  <si>
    <t>EUR annual money 1M Euribor zero coupon yield curve</t>
  </si>
  <si>
    <t>EUR annual money 3M Euribor zero coupon yield curve</t>
  </si>
  <si>
    <t>EUR annual money 6M Euribor zero coupon yield curve</t>
  </si>
  <si>
    <t>EUR annual money 1Y Euribor zero coupon yield curve</t>
  </si>
  <si>
    <t>USD zero coupon yield curve</t>
  </si>
  <si>
    <t>EUR zero coupon yield curve</t>
  </si>
  <si>
    <t>CHF zero coupon yield curve</t>
  </si>
  <si>
    <t>SGD zero coupon yield curve</t>
  </si>
  <si>
    <t>AUD zero coupon yield curve</t>
  </si>
  <si>
    <t>JPY zero coupon yield curve</t>
  </si>
  <si>
    <t>GBP zero coupon yield curve</t>
  </si>
  <si>
    <t>THB zero coupon yield curve</t>
  </si>
  <si>
    <t>HKD zero coupon yield curve</t>
  </si>
  <si>
    <t>All the information are collected from Reuter</t>
  </si>
  <si>
    <r>
      <rPr>
        <i/>
        <sz val="12"/>
        <color theme="1"/>
        <rFont val="Arial"/>
        <family val="2"/>
      </rPr>
      <t xml:space="preserve">Note: </t>
    </r>
    <r>
      <rPr>
        <sz val="12"/>
        <color theme="1"/>
        <rFont val="Arial"/>
        <family val="2"/>
      </rPr>
      <t xml:space="preserve">
- To construct accurately cash flows, it's necessary to know about day count convention and holiday convention.
- Since bid-ask spread in VND curve is quite big, receive leg will be valuated by applying bid rate and the other will apply ask rate. For other currencies, mid rate will be applied for both legs due to small spread.</t>
    </r>
  </si>
  <si>
    <t>Discount factor: available information from Reuter</t>
  </si>
  <si>
    <t>Deposit VND par rate + Risk Premium</t>
  </si>
  <si>
    <t>909,400,000,000 VND/40,000,000 USD</t>
  </si>
  <si>
    <t>6M Fwd rate+4.75%</t>
  </si>
  <si>
    <t>Libor 6M + 4.75%</t>
  </si>
  <si>
    <t>Floating rate for initial period</t>
  </si>
  <si>
    <t>Discount USD rate</t>
  </si>
  <si>
    <t>Number of days</t>
  </si>
  <si>
    <t>Discount rate USD</t>
  </si>
  <si>
    <t>6M Zero curve USD</t>
  </si>
  <si>
    <t>Discount rate VND</t>
  </si>
  <si>
    <t>Step 1b: Calculation of all cash flows: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</si>
</sst>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0.0000%"/>
    <numFmt numFmtId="166" formatCode="[$-409]d\-mmm\-yy;@"/>
    <numFmt numFmtId="169" formatCode="0.00000%"/>
  </numFmts>
  <fonts count="17" x14ac:knownFonts="1">
    <font>
      <sz val="12"/>
      <color theme="1"/>
      <name val="Calibri"/>
      <family val="2"/>
      <scheme val="minor"/>
    </font>
    <font>
      <sz val="12"/>
      <color theme="1"/>
      <name val="Arial"/>
      <family val="2"/>
    </font>
    <font>
      <sz val="12"/>
      <color rgb="FFFF0000"/>
      <name val="Arial"/>
      <family val="2"/>
    </font>
    <font>
      <sz val="16"/>
      <color theme="1"/>
      <name val="Arial"/>
      <family val="2"/>
    </font>
    <font>
      <sz val="12"/>
      <color theme="0" tint="-0.499984740745262"/>
      <name val="Arial"/>
      <family val="2"/>
    </font>
    <font>
      <i/>
      <sz val="12"/>
      <color theme="1"/>
      <name val="Arial"/>
      <family val="2"/>
    </font>
    <font>
      <b/>
      <sz val="22"/>
      <color theme="1"/>
      <name val="Arial"/>
      <family val="2"/>
    </font>
    <font>
      <sz val="8"/>
      <name val="Calibri"/>
      <family val="2"/>
      <scheme val="minor"/>
    </font>
    <font>
      <b/>
      <sz val="12"/>
      <color theme="1"/>
      <name val="Arial"/>
      <family val="2"/>
    </font>
    <font>
      <b/>
      <i/>
      <sz val="12"/>
      <color theme="1"/>
      <name val="Arial"/>
      <family val="2"/>
    </font>
    <font>
      <u/>
      <sz val="12"/>
      <color theme="10"/>
      <name val="Calibri"/>
      <family val="2"/>
      <scheme val="minor"/>
    </font>
    <font>
      <u/>
      <sz val="12"/>
      <color theme="11"/>
      <name val="Calibri"/>
      <family val="2"/>
      <scheme val="minor"/>
    </font>
    <font>
      <sz val="12"/>
      <color theme="1"/>
      <name val="Arial"/>
      <family val="2"/>
    </font>
    <font>
      <b/>
      <sz val="12"/>
      <color theme="1"/>
      <name val="Arial"/>
      <family val="2"/>
    </font>
    <font>
      <u/>
      <sz val="12"/>
      <color theme="10"/>
      <name val="Arial"/>
      <family val="2"/>
    </font>
    <font>
      <sz val="12"/>
      <color theme="1"/>
      <name val="Calibri"/>
      <family val="2"/>
      <scheme val="minor"/>
    </font>
    <font>
      <i/>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4">
    <border>
      <left/>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s>
  <cellStyleXfs count="6">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43" fontId="15" fillId="0" borderId="0" applyFont="0" applyFill="0" applyBorder="0" applyAlignment="0" applyProtection="0"/>
    <xf numFmtId="9" fontId="15" fillId="0" borderId="0" applyFont="0" applyFill="0" applyBorder="0" applyAlignment="0" applyProtection="0"/>
  </cellStyleXfs>
  <cellXfs count="77">
    <xf numFmtId="0" fontId="0" fillId="0" borderId="0" xfId="0"/>
    <xf numFmtId="0" fontId="1" fillId="2" borderId="0" xfId="0" applyFont="1" applyFill="1"/>
    <xf numFmtId="0" fontId="2" fillId="2" borderId="0" xfId="0" applyFont="1" applyFill="1"/>
    <xf numFmtId="0" fontId="1" fillId="2" borderId="0" xfId="0" applyFont="1" applyFill="1" applyAlignment="1">
      <alignment horizontal="center"/>
    </xf>
    <xf numFmtId="0" fontId="1" fillId="2" borderId="0" xfId="0" applyFont="1" applyFill="1" applyAlignment="1">
      <alignment horizontal="center"/>
    </xf>
    <xf numFmtId="0" fontId="4" fillId="2" borderId="0" xfId="0" applyFont="1" applyFill="1"/>
    <xf numFmtId="0" fontId="9" fillId="2" borderId="0" xfId="0" applyFont="1" applyFill="1"/>
    <xf numFmtId="0" fontId="1" fillId="2" borderId="1" xfId="0" applyFont="1" applyFill="1" applyBorder="1"/>
    <xf numFmtId="0" fontId="1" fillId="2" borderId="3" xfId="0" applyFont="1" applyFill="1" applyBorder="1"/>
    <xf numFmtId="0" fontId="1" fillId="2" borderId="0" xfId="0" applyFont="1" applyFill="1" applyBorder="1"/>
    <xf numFmtId="0" fontId="1" fillId="2" borderId="2" xfId="0" applyFont="1" applyFill="1" applyBorder="1"/>
    <xf numFmtId="0" fontId="5" fillId="2" borderId="0" xfId="0" applyFont="1" applyFill="1" applyAlignment="1">
      <alignment horizontal="right"/>
    </xf>
    <xf numFmtId="0" fontId="1" fillId="2" borderId="0" xfId="0" applyFont="1" applyFill="1" applyAlignment="1">
      <alignment horizontal="left"/>
    </xf>
    <xf numFmtId="0" fontId="12" fillId="2" borderId="0" xfId="0" applyFont="1" applyFill="1" applyAlignment="1">
      <alignment horizontal="center"/>
    </xf>
    <xf numFmtId="0" fontId="13" fillId="2" borderId="0" xfId="0" applyFont="1" applyFill="1"/>
    <xf numFmtId="0" fontId="14" fillId="2" borderId="0" xfId="3" applyFont="1" applyFill="1"/>
    <xf numFmtId="0" fontId="12" fillId="2" borderId="0" xfId="0" applyFont="1" applyFill="1"/>
    <xf numFmtId="0" fontId="12" fillId="2" borderId="0" xfId="0" applyFont="1" applyFill="1" applyBorder="1"/>
    <xf numFmtId="0" fontId="1" fillId="2" borderId="0" xfId="0" applyFont="1" applyFill="1" applyAlignment="1">
      <alignment horizontal="left"/>
    </xf>
    <xf numFmtId="0" fontId="1" fillId="2" borderId="0" xfId="0" applyFont="1" applyFill="1" applyAlignment="1">
      <alignment horizontal="left" vertical="top"/>
    </xf>
    <xf numFmtId="0" fontId="16" fillId="2" borderId="0" xfId="0" applyFont="1" applyFill="1"/>
    <xf numFmtId="0" fontId="12" fillId="2" borderId="0" xfId="0" applyFont="1" applyFill="1" applyAlignment="1">
      <alignment horizontal="left" indent="2"/>
    </xf>
    <xf numFmtId="0" fontId="12" fillId="2" borderId="1" xfId="0" applyFont="1" applyFill="1" applyBorder="1"/>
    <xf numFmtId="0" fontId="1" fillId="2" borderId="0" xfId="0" applyFont="1" applyFill="1" applyAlignment="1">
      <alignment horizontal="right"/>
    </xf>
    <xf numFmtId="10" fontId="1" fillId="2" borderId="0" xfId="0" applyNumberFormat="1" applyFont="1" applyFill="1" applyAlignment="1">
      <alignment horizontal="right"/>
    </xf>
    <xf numFmtId="166" fontId="1" fillId="2" borderId="0" xfId="0" applyNumberFormat="1" applyFont="1" applyFill="1" applyAlignment="1">
      <alignment horizontal="left"/>
    </xf>
    <xf numFmtId="164" fontId="1" fillId="2" borderId="0" xfId="4" applyNumberFormat="1" applyFont="1" applyFill="1"/>
    <xf numFmtId="0" fontId="1" fillId="2" borderId="1" xfId="0" applyFont="1" applyFill="1" applyBorder="1" applyAlignment="1">
      <alignment horizontal="left"/>
    </xf>
    <xf numFmtId="165" fontId="1" fillId="2" borderId="0" xfId="0" applyNumberFormat="1" applyFont="1" applyFill="1"/>
    <xf numFmtId="165" fontId="1" fillId="2" borderId="0" xfId="0" applyNumberFormat="1" applyFont="1" applyFill="1" applyAlignment="1">
      <alignment horizontal="left"/>
    </xf>
    <xf numFmtId="2" fontId="1" fillId="2" borderId="0" xfId="0" applyNumberFormat="1" applyFont="1" applyFill="1" applyAlignment="1">
      <alignment horizontal="center"/>
    </xf>
    <xf numFmtId="164" fontId="1" fillId="2" borderId="0" xfId="0" applyNumberFormat="1" applyFont="1" applyFill="1"/>
    <xf numFmtId="164" fontId="1" fillId="3" borderId="0" xfId="0" applyNumberFormat="1" applyFont="1" applyFill="1"/>
    <xf numFmtId="166" fontId="1" fillId="2" borderId="0" xfId="0" applyNumberFormat="1" applyFont="1" applyFill="1"/>
    <xf numFmtId="165" fontId="12" fillId="2" borderId="0" xfId="0" applyNumberFormat="1" applyFont="1" applyFill="1" applyBorder="1"/>
    <xf numFmtId="165" fontId="1" fillId="2" borderId="0" xfId="0" applyNumberFormat="1" applyFont="1" applyFill="1" applyBorder="1"/>
    <xf numFmtId="0" fontId="1" fillId="2" borderId="1" xfId="0" applyFont="1" applyFill="1" applyBorder="1" applyAlignment="1">
      <alignment horizontal="left" wrapText="1"/>
    </xf>
    <xf numFmtId="0" fontId="1" fillId="2" borderId="1" xfId="0" applyFont="1" applyFill="1" applyBorder="1" applyAlignment="1">
      <alignment wrapText="1"/>
    </xf>
    <xf numFmtId="0" fontId="1" fillId="2" borderId="0" xfId="0" applyFont="1" applyFill="1" applyAlignment="1">
      <alignment wrapText="1"/>
    </xf>
    <xf numFmtId="0" fontId="5" fillId="2" borderId="0" xfId="0" applyFont="1" applyFill="1"/>
    <xf numFmtId="43" fontId="1" fillId="2" borderId="0" xfId="0" applyNumberFormat="1" applyFont="1" applyFill="1"/>
    <xf numFmtId="0" fontId="1" fillId="2" borderId="0" xfId="0" applyFont="1" applyFill="1" applyBorder="1" applyAlignment="1">
      <alignment wrapText="1"/>
    </xf>
    <xf numFmtId="0" fontId="9" fillId="2" borderId="0" xfId="0" applyFont="1" applyFill="1" applyAlignment="1">
      <alignment horizontal="left" vertical="center"/>
    </xf>
    <xf numFmtId="0" fontId="1" fillId="2" borderId="1" xfId="0" applyFont="1" applyFill="1" applyBorder="1" applyAlignment="1">
      <alignment horizontal="left" vertical="center"/>
    </xf>
    <xf numFmtId="0" fontId="1" fillId="2" borderId="0" xfId="0" applyFont="1" applyFill="1" applyBorder="1" applyAlignment="1">
      <alignment horizontal="left" vertical="center"/>
    </xf>
    <xf numFmtId="0" fontId="1" fillId="2" borderId="0" xfId="0" applyFont="1" applyFill="1" applyAlignment="1">
      <alignment horizontal="left" vertical="center"/>
    </xf>
    <xf numFmtId="0" fontId="8" fillId="2" borderId="0" xfId="0" applyFont="1" applyFill="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1" fillId="2" borderId="0" xfId="0" applyFont="1" applyFill="1" applyAlignment="1">
      <alignment vertical="center" wrapText="1"/>
    </xf>
    <xf numFmtId="0" fontId="3" fillId="2" borderId="0" xfId="0" applyFont="1" applyFill="1" applyAlignment="1">
      <alignment horizontal="center"/>
    </xf>
    <xf numFmtId="0" fontId="3" fillId="2" borderId="0" xfId="0" applyFont="1" applyFill="1" applyAlignment="1">
      <alignment horizontal="left" vertical="center"/>
    </xf>
    <xf numFmtId="0" fontId="5" fillId="2" borderId="0" xfId="0" applyFont="1" applyFill="1" applyAlignment="1">
      <alignment horizontal="left" vertical="center"/>
    </xf>
    <xf numFmtId="0" fontId="1" fillId="2" borderId="0" xfId="0" applyFont="1" applyFill="1" applyAlignment="1">
      <alignment horizontal="left" indent="2"/>
    </xf>
    <xf numFmtId="0" fontId="2" fillId="2" borderId="0" xfId="0" applyFont="1" applyFill="1" applyAlignment="1">
      <alignment horizontal="left" vertical="center"/>
    </xf>
    <xf numFmtId="0" fontId="1" fillId="2" borderId="0" xfId="0" applyFont="1" applyFill="1" applyAlignment="1">
      <alignment horizontal="left"/>
    </xf>
    <xf numFmtId="0" fontId="5" fillId="2" borderId="0" xfId="0" applyFont="1" applyFill="1" applyAlignment="1">
      <alignment horizontal="center"/>
    </xf>
    <xf numFmtId="0" fontId="1" fillId="2" borderId="0" xfId="0" applyFont="1" applyFill="1" applyAlignment="1">
      <alignment horizontal="left"/>
    </xf>
    <xf numFmtId="0" fontId="4" fillId="2" borderId="0" xfId="0" applyFont="1" applyFill="1" applyAlignment="1">
      <alignment horizontal="center"/>
    </xf>
    <xf numFmtId="0" fontId="6" fillId="2" borderId="0" xfId="0" applyFont="1" applyFill="1" applyAlignment="1">
      <alignment horizontal="center" vertical="center"/>
    </xf>
    <xf numFmtId="0" fontId="3" fillId="2" borderId="0" xfId="0" applyFont="1" applyFill="1" applyAlignment="1">
      <alignment horizontal="center"/>
    </xf>
    <xf numFmtId="0" fontId="1" fillId="2" borderId="0" xfId="0" applyFont="1" applyFill="1" applyAlignment="1">
      <alignment horizontal="left" vertical="top" wrapText="1"/>
    </xf>
    <xf numFmtId="0" fontId="1" fillId="0" borderId="0" xfId="0" applyFont="1" applyFill="1" applyAlignment="1">
      <alignment horizontal="left" vertical="top" wrapText="1"/>
    </xf>
    <xf numFmtId="0" fontId="1" fillId="2" borderId="0" xfId="0" applyFont="1" applyFill="1" applyAlignment="1">
      <alignment horizontal="left" vertical="top"/>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2" fillId="2" borderId="0" xfId="0" applyFont="1" applyFill="1" applyAlignment="1">
      <alignment horizontal="left" vertical="top" wrapText="1"/>
    </xf>
    <xf numFmtId="0" fontId="1" fillId="2" borderId="0" xfId="0" applyFont="1" applyFill="1" applyAlignment="1">
      <alignment horizontal="center"/>
    </xf>
    <xf numFmtId="11" fontId="1" fillId="2" borderId="0" xfId="0" applyNumberFormat="1" applyFont="1" applyFill="1"/>
    <xf numFmtId="0" fontId="1" fillId="2" borderId="0" xfId="0" applyFont="1" applyFill="1" applyAlignment="1"/>
    <xf numFmtId="169" fontId="1" fillId="2" borderId="0" xfId="5" applyNumberFormat="1" applyFont="1" applyFill="1" applyAlignment="1">
      <alignment horizontal="right"/>
    </xf>
    <xf numFmtId="43" fontId="1" fillId="2" borderId="0" xfId="4" applyFont="1" applyFill="1" applyAlignment="1">
      <alignment horizontal="left"/>
    </xf>
    <xf numFmtId="164" fontId="1" fillId="2" borderId="0" xfId="4" applyNumberFormat="1" applyFont="1" applyFill="1" applyAlignment="1">
      <alignment horizontal="left"/>
    </xf>
    <xf numFmtId="164" fontId="1" fillId="2" borderId="0" xfId="4" applyNumberFormat="1" applyFont="1" applyFill="1" applyAlignment="1">
      <alignment horizontal="right"/>
    </xf>
    <xf numFmtId="165" fontId="1" fillId="2" borderId="0" xfId="0" applyNumberFormat="1" applyFont="1" applyFill="1" applyAlignment="1">
      <alignment horizontal="right"/>
    </xf>
    <xf numFmtId="15" fontId="1" fillId="2" borderId="0" xfId="0" applyNumberFormat="1" applyFont="1" applyFill="1" applyAlignment="1">
      <alignment horizontal="left"/>
    </xf>
    <xf numFmtId="1" fontId="1" fillId="2" borderId="0" xfId="0" applyNumberFormat="1" applyFont="1" applyFill="1" applyAlignment="1">
      <alignment horizontal="center"/>
    </xf>
  </cellXfs>
  <cellStyles count="6">
    <cellStyle name="Comma" xfId="4" builtinId="3"/>
    <cellStyle name="Followed Hyperlink" xfId="2" builtinId="9" hidden="1"/>
    <cellStyle name="Hyperlink" xfId="1" builtinId="8" hidden="1"/>
    <cellStyle name="Hyperlink" xfId="3" builtinId="8"/>
    <cellStyle name="Normal" xfId="0" builtinId="0"/>
    <cellStyle name="Percent" xfId="5" builtinId="5"/>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215900</xdr:colOff>
      <xdr:row>1</xdr:row>
      <xdr:rowOff>25401</xdr:rowOff>
    </xdr:from>
    <xdr:to>
      <xdr:col>4</xdr:col>
      <xdr:colOff>127000</xdr:colOff>
      <xdr:row>6</xdr:row>
      <xdr:rowOff>18883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215900" y="228601"/>
          <a:ext cx="2641600" cy="10094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xdr:row>
      <xdr:rowOff>104775</xdr:rowOff>
    </xdr:from>
    <xdr:to>
      <xdr:col>6</xdr:col>
      <xdr:colOff>160774</xdr:colOff>
      <xdr:row>14</xdr:row>
      <xdr:rowOff>20997</xdr:rowOff>
    </xdr:to>
    <xdr:pic>
      <xdr:nvPicPr>
        <xdr:cNvPr id="4" name="Picture 3">
          <a:extLst>
            <a:ext uri="{FF2B5EF4-FFF2-40B4-BE49-F238E27FC236}">
              <a16:creationId xmlns="" xmlns:a16="http://schemas.microsoft.com/office/drawing/2014/main" id="{DB863815-1005-4B11-A448-9615B7FB45EF}"/>
            </a:ext>
          </a:extLst>
        </xdr:cNvPr>
        <xdr:cNvPicPr>
          <a:picLocks noChangeAspect="1"/>
        </xdr:cNvPicPr>
      </xdr:nvPicPr>
      <xdr:blipFill>
        <a:blip xmlns:r="http://schemas.openxmlformats.org/officeDocument/2006/relationships" r:embed="rId1"/>
        <a:stretch>
          <a:fillRect/>
        </a:stretch>
      </xdr:blipFill>
      <xdr:spPr>
        <a:xfrm>
          <a:off x="276225" y="3619500"/>
          <a:ext cx="4304149" cy="487722"/>
        </a:xfrm>
        <a:prstGeom prst="rect">
          <a:avLst/>
        </a:prstGeom>
      </xdr:spPr>
    </xdr:pic>
    <xdr:clientData/>
  </xdr:twoCellAnchor>
  <xdr:twoCellAnchor>
    <xdr:from>
      <xdr:col>1</xdr:col>
      <xdr:colOff>314325</xdr:colOff>
      <xdr:row>6</xdr:row>
      <xdr:rowOff>638175</xdr:rowOff>
    </xdr:from>
    <xdr:to>
      <xdr:col>4</xdr:col>
      <xdr:colOff>219075</xdr:colOff>
      <xdr:row>6</xdr:row>
      <xdr:rowOff>1028700</xdr:rowOff>
    </xdr:to>
    <xdr:pic>
      <xdr:nvPicPr>
        <xdr:cNvPr id="6" name="Picture 5"/>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90550" y="1847850"/>
          <a:ext cx="2390775"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5:I31"/>
  <sheetViews>
    <sheetView workbookViewId="0">
      <selection activeCell="B10" sqref="B10:H10"/>
    </sheetView>
  </sheetViews>
  <sheetFormatPr defaultColWidth="10.875" defaultRowHeight="15" x14ac:dyDescent="0.2"/>
  <cols>
    <col min="1" max="1" width="3.375" style="1" customWidth="1"/>
    <col min="2" max="7" width="10.875" style="1"/>
    <col min="8" max="8" width="11.5" style="1" customWidth="1"/>
    <col min="9" max="9" width="3.875" style="1" customWidth="1"/>
    <col min="10" max="16384" width="10.875" style="1"/>
  </cols>
  <sheetData>
    <row r="5" spans="2:9" x14ac:dyDescent="0.2">
      <c r="G5" s="2" t="s">
        <v>0</v>
      </c>
    </row>
    <row r="10" spans="2:9" ht="27.75" x14ac:dyDescent="0.2">
      <c r="B10" s="59" t="s">
        <v>71</v>
      </c>
      <c r="C10" s="59"/>
      <c r="D10" s="59"/>
      <c r="E10" s="59"/>
      <c r="F10" s="59"/>
      <c r="G10" s="59"/>
      <c r="H10" s="59"/>
    </row>
    <row r="11" spans="2:9" x14ac:dyDescent="0.2">
      <c r="B11" s="56" t="s">
        <v>22</v>
      </c>
      <c r="C11" s="56"/>
      <c r="D11" s="56"/>
      <c r="E11" s="56"/>
      <c r="F11" s="56"/>
      <c r="G11" s="56"/>
      <c r="H11" s="56"/>
    </row>
    <row r="14" spans="2:9" x14ac:dyDescent="0.2">
      <c r="B14" s="1" t="s">
        <v>1</v>
      </c>
      <c r="E14" s="12" t="s">
        <v>72</v>
      </c>
      <c r="F14" s="57" t="s">
        <v>73</v>
      </c>
      <c r="G14" s="57"/>
      <c r="H14" s="57"/>
      <c r="I14" s="57"/>
    </row>
    <row r="15" spans="2:9" x14ac:dyDescent="0.2">
      <c r="E15" s="12"/>
      <c r="F15" s="57"/>
      <c r="G15" s="57"/>
      <c r="H15" s="57"/>
      <c r="I15" s="57"/>
    </row>
    <row r="16" spans="2:9" x14ac:dyDescent="0.2">
      <c r="E16" s="5"/>
      <c r="F16" s="58"/>
      <c r="G16" s="58"/>
      <c r="H16" s="58"/>
      <c r="I16" s="58"/>
    </row>
    <row r="17" spans="2:9" x14ac:dyDescent="0.2">
      <c r="E17" s="5"/>
      <c r="F17" s="58"/>
      <c r="G17" s="58"/>
      <c r="H17" s="58"/>
      <c r="I17" s="58"/>
    </row>
    <row r="20" spans="2:9" x14ac:dyDescent="0.2">
      <c r="B20" s="1" t="s">
        <v>2</v>
      </c>
      <c r="F20" s="1" t="s">
        <v>27</v>
      </c>
      <c r="G20" s="4"/>
      <c r="H20" s="3"/>
      <c r="I20" s="3"/>
    </row>
    <row r="21" spans="2:9" x14ac:dyDescent="0.2">
      <c r="B21" s="1" t="s">
        <v>23</v>
      </c>
      <c r="G21" s="4" t="s">
        <v>28</v>
      </c>
      <c r="H21" s="3"/>
      <c r="I21" s="3"/>
    </row>
    <row r="22" spans="2:9" x14ac:dyDescent="0.2">
      <c r="B22" s="1" t="s">
        <v>24</v>
      </c>
      <c r="G22" s="13" t="s">
        <v>26</v>
      </c>
      <c r="H22" s="3"/>
      <c r="I22" s="3"/>
    </row>
    <row r="23" spans="2:9" x14ac:dyDescent="0.2">
      <c r="B23" s="1" t="s">
        <v>25</v>
      </c>
      <c r="G23" s="13" t="s">
        <v>26</v>
      </c>
      <c r="H23" s="3"/>
      <c r="I23" s="3"/>
    </row>
    <row r="27" spans="2:9" ht="15.75" x14ac:dyDescent="0.25">
      <c r="B27" s="14" t="s">
        <v>29</v>
      </c>
    </row>
    <row r="28" spans="2:9" x14ac:dyDescent="0.2">
      <c r="B28" s="15" t="s">
        <v>30</v>
      </c>
      <c r="C28" s="16"/>
      <c r="D28" s="16"/>
      <c r="E28" s="15" t="s">
        <v>31</v>
      </c>
    </row>
    <row r="29" spans="2:9" x14ac:dyDescent="0.2">
      <c r="B29" s="15" t="s">
        <v>32</v>
      </c>
      <c r="C29" s="16"/>
      <c r="D29" s="16"/>
      <c r="E29" s="15" t="s">
        <v>33</v>
      </c>
    </row>
    <row r="30" spans="2:9" x14ac:dyDescent="0.2">
      <c r="B30" s="15" t="s">
        <v>34</v>
      </c>
      <c r="C30" s="16"/>
      <c r="D30" s="16"/>
      <c r="E30" s="16"/>
    </row>
    <row r="31" spans="2:9" x14ac:dyDescent="0.2">
      <c r="B31" s="15" t="s">
        <v>35</v>
      </c>
      <c r="C31" s="16"/>
      <c r="D31" s="16"/>
      <c r="E31" s="16"/>
    </row>
  </sheetData>
  <mergeCells count="6">
    <mergeCell ref="B11:H11"/>
    <mergeCell ref="F15:I15"/>
    <mergeCell ref="F16:I16"/>
    <mergeCell ref="F17:I17"/>
    <mergeCell ref="B10:H10"/>
    <mergeCell ref="F14:I14"/>
  </mergeCells>
  <phoneticPr fontId="7" type="noConversion"/>
  <hyperlinks>
    <hyperlink ref="B28" location="'1. Description'!A1" display="1. Description"/>
    <hyperlink ref="B29" location="'2. Model inputs'!A1" display="2. Model inputs"/>
    <hyperlink ref="B30" location="'3. Unobservable inputs'!A1" display="3. Unobservable inputs"/>
    <hyperlink ref="B31" location="'4. Fair Value Level'!A1" display="4. Fair value level"/>
    <hyperlink ref="E28" location="'5. Calculation formulas'!A1" display="5. Calculation formulas"/>
    <hyperlink ref="E29" location="'6. Example'!A1" display="6. Example"/>
  </hyperlink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3:J11"/>
  <sheetViews>
    <sheetView topLeftCell="A7" workbookViewId="0">
      <selection activeCell="B8" sqref="B8:J8"/>
    </sheetView>
  </sheetViews>
  <sheetFormatPr defaultColWidth="10.875" defaultRowHeight="15" x14ac:dyDescent="0.2"/>
  <cols>
    <col min="1" max="1" width="2.875" style="1" customWidth="1"/>
    <col min="2" max="8" width="10.875" style="1"/>
    <col min="9" max="9" width="6.25" style="1" customWidth="1"/>
    <col min="10" max="16384" width="10.875" style="1"/>
  </cols>
  <sheetData>
    <row r="3" spans="2:10" ht="20.25" x14ac:dyDescent="0.3">
      <c r="B3" s="60" t="str">
        <f>MAIN!B10</f>
        <v>Valuation model for CCS</v>
      </c>
      <c r="C3" s="60"/>
      <c r="D3" s="60"/>
      <c r="E3" s="60"/>
      <c r="F3" s="60"/>
      <c r="G3" s="60"/>
      <c r="H3" s="60"/>
    </row>
    <row r="5" spans="2:10" x14ac:dyDescent="0.2">
      <c r="B5" s="6" t="s">
        <v>20</v>
      </c>
    </row>
    <row r="7" spans="2:10" ht="159.75" customHeight="1" x14ac:dyDescent="0.2">
      <c r="B7" s="61" t="s">
        <v>99</v>
      </c>
      <c r="C7" s="61"/>
      <c r="D7" s="61"/>
      <c r="E7" s="61"/>
      <c r="F7" s="61"/>
      <c r="G7" s="61"/>
      <c r="H7" s="61"/>
      <c r="I7" s="61"/>
      <c r="J7" s="61"/>
    </row>
    <row r="8" spans="2:10" ht="86.25" customHeight="1" x14ac:dyDescent="0.2">
      <c r="B8" s="61" t="s">
        <v>135</v>
      </c>
      <c r="C8" s="63"/>
      <c r="D8" s="63"/>
      <c r="E8" s="63"/>
      <c r="F8" s="63"/>
      <c r="G8" s="63"/>
      <c r="H8" s="63"/>
      <c r="I8" s="63"/>
      <c r="J8" s="63"/>
    </row>
    <row r="9" spans="2:10" x14ac:dyDescent="0.2">
      <c r="B9" s="6" t="s">
        <v>21</v>
      </c>
    </row>
    <row r="11" spans="2:10" ht="82.5" customHeight="1" x14ac:dyDescent="0.2">
      <c r="B11" s="62" t="s">
        <v>98</v>
      </c>
      <c r="C11" s="62"/>
      <c r="D11" s="62"/>
      <c r="E11" s="62"/>
      <c r="F11" s="62"/>
      <c r="G11" s="62"/>
      <c r="H11" s="62"/>
      <c r="I11" s="62"/>
      <c r="J11" s="62"/>
    </row>
  </sheetData>
  <mergeCells count="4">
    <mergeCell ref="B3:H3"/>
    <mergeCell ref="B7:J7"/>
    <mergeCell ref="B11:J11"/>
    <mergeCell ref="B8:J8"/>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3:M50"/>
  <sheetViews>
    <sheetView workbookViewId="0">
      <selection activeCell="B32" sqref="B32"/>
    </sheetView>
  </sheetViews>
  <sheetFormatPr defaultColWidth="10.875" defaultRowHeight="15" x14ac:dyDescent="0.2"/>
  <cols>
    <col min="1" max="1" width="3" style="1" customWidth="1"/>
    <col min="2" max="2" width="11.375" style="45" bestFit="1" customWidth="1"/>
    <col min="3" max="3" width="21" style="1" customWidth="1"/>
    <col min="4" max="8" width="10.875" style="1"/>
    <col min="9" max="9" width="3.375" style="1" customWidth="1"/>
    <col min="10" max="16384" width="10.875" style="1"/>
  </cols>
  <sheetData>
    <row r="3" spans="2:8" ht="20.25" x14ac:dyDescent="0.3">
      <c r="B3" s="51" t="str">
        <f>MAIN!B10</f>
        <v>Valuation model for CCS</v>
      </c>
      <c r="C3" s="50"/>
      <c r="D3" s="50"/>
      <c r="E3" s="50"/>
      <c r="F3" s="50"/>
      <c r="G3" s="50"/>
      <c r="H3" s="50"/>
    </row>
    <row r="6" spans="2:8" x14ac:dyDescent="0.2">
      <c r="B6" s="42" t="s">
        <v>5</v>
      </c>
      <c r="H6" s="11" t="s">
        <v>8</v>
      </c>
    </row>
    <row r="8" spans="2:8" x14ac:dyDescent="0.2">
      <c r="B8" s="43" t="s">
        <v>3</v>
      </c>
      <c r="C8" s="8"/>
      <c r="D8" s="7" t="s">
        <v>4</v>
      </c>
      <c r="E8" s="7"/>
      <c r="F8" s="7"/>
      <c r="G8" s="7"/>
      <c r="H8" s="7"/>
    </row>
    <row r="9" spans="2:8" x14ac:dyDescent="0.2">
      <c r="B9" s="44" t="s">
        <v>36</v>
      </c>
      <c r="C9" s="10"/>
      <c r="D9" s="1" t="s">
        <v>117</v>
      </c>
    </row>
    <row r="10" spans="2:8" x14ac:dyDescent="0.2">
      <c r="C10" s="10"/>
      <c r="D10" s="1" t="s">
        <v>118</v>
      </c>
    </row>
    <row r="11" spans="2:8" x14ac:dyDescent="0.2">
      <c r="C11" s="10"/>
      <c r="D11" s="1" t="s">
        <v>119</v>
      </c>
    </row>
    <row r="12" spans="2:8" x14ac:dyDescent="0.2">
      <c r="C12" s="10"/>
      <c r="D12" s="1" t="s">
        <v>120</v>
      </c>
    </row>
    <row r="13" spans="2:8" x14ac:dyDescent="0.2">
      <c r="B13" s="44" t="s">
        <v>39</v>
      </c>
      <c r="C13" s="10"/>
      <c r="D13" s="1" t="s">
        <v>121</v>
      </c>
    </row>
    <row r="14" spans="2:8" x14ac:dyDescent="0.2">
      <c r="B14" s="44"/>
      <c r="C14" s="10"/>
      <c r="D14" s="1" t="s">
        <v>122</v>
      </c>
    </row>
    <row r="15" spans="2:8" x14ac:dyDescent="0.2">
      <c r="B15" s="44"/>
      <c r="C15" s="10"/>
      <c r="D15" s="1" t="s">
        <v>123</v>
      </c>
    </row>
    <row r="16" spans="2:8" x14ac:dyDescent="0.2">
      <c r="B16" s="44"/>
      <c r="C16" s="10"/>
      <c r="D16" s="1" t="s">
        <v>124</v>
      </c>
    </row>
    <row r="17" spans="2:13" x14ac:dyDescent="0.2">
      <c r="B17" s="44" t="s">
        <v>102</v>
      </c>
      <c r="C17" s="10"/>
      <c r="D17" s="1" t="s">
        <v>125</v>
      </c>
    </row>
    <row r="18" spans="2:13" x14ac:dyDescent="0.2">
      <c r="B18" s="44" t="s">
        <v>103</v>
      </c>
      <c r="C18" s="10"/>
      <c r="D18" s="1" t="s">
        <v>126</v>
      </c>
    </row>
    <row r="19" spans="2:13" x14ac:dyDescent="0.2">
      <c r="B19" s="44" t="s">
        <v>106</v>
      </c>
      <c r="C19" s="10"/>
      <c r="D19" s="1" t="s">
        <v>137</v>
      </c>
    </row>
    <row r="20" spans="2:13" x14ac:dyDescent="0.2">
      <c r="B20" s="44" t="s">
        <v>107</v>
      </c>
      <c r="C20" s="10"/>
      <c r="D20" s="1" t="s">
        <v>127</v>
      </c>
    </row>
    <row r="21" spans="2:13" x14ac:dyDescent="0.2">
      <c r="B21" s="44" t="s">
        <v>108</v>
      </c>
      <c r="C21" s="10"/>
      <c r="D21" s="1" t="s">
        <v>100</v>
      </c>
    </row>
    <row r="22" spans="2:13" x14ac:dyDescent="0.2">
      <c r="B22" s="44" t="s">
        <v>109</v>
      </c>
      <c r="C22" s="10"/>
      <c r="D22" s="1" t="s">
        <v>101</v>
      </c>
    </row>
    <row r="23" spans="2:13" x14ac:dyDescent="0.2">
      <c r="B23" s="45" t="s">
        <v>110</v>
      </c>
      <c r="C23" s="10"/>
      <c r="D23" s="1" t="s">
        <v>128</v>
      </c>
    </row>
    <row r="24" spans="2:13" x14ac:dyDescent="0.2">
      <c r="B24" s="45" t="s">
        <v>111</v>
      </c>
      <c r="C24" s="10"/>
      <c r="D24" s="1" t="s">
        <v>129</v>
      </c>
    </row>
    <row r="25" spans="2:13" x14ac:dyDescent="0.2">
      <c r="B25" s="45" t="s">
        <v>112</v>
      </c>
      <c r="C25" s="10"/>
      <c r="D25" s="1" t="s">
        <v>130</v>
      </c>
    </row>
    <row r="26" spans="2:13" x14ac:dyDescent="0.2">
      <c r="B26" s="45" t="s">
        <v>113</v>
      </c>
      <c r="C26" s="10"/>
      <c r="D26" s="1" t="s">
        <v>131</v>
      </c>
    </row>
    <row r="27" spans="2:13" x14ac:dyDescent="0.2">
      <c r="B27" s="45" t="s">
        <v>114</v>
      </c>
      <c r="C27" s="10"/>
      <c r="D27" s="1" t="s">
        <v>132</v>
      </c>
    </row>
    <row r="28" spans="2:13" x14ac:dyDescent="0.2">
      <c r="B28" s="45" t="s">
        <v>115</v>
      </c>
      <c r="C28" s="10"/>
      <c r="D28" s="1" t="s">
        <v>133</v>
      </c>
    </row>
    <row r="29" spans="2:13" x14ac:dyDescent="0.2">
      <c r="C29" s="10"/>
    </row>
    <row r="30" spans="2:13" x14ac:dyDescent="0.2">
      <c r="B30" s="52" t="s">
        <v>116</v>
      </c>
    </row>
    <row r="31" spans="2:13" x14ac:dyDescent="0.2">
      <c r="B31" s="65"/>
      <c r="C31" s="65"/>
      <c r="D31" s="65"/>
      <c r="E31" s="65"/>
      <c r="F31" s="65"/>
      <c r="G31" s="65"/>
      <c r="H31" s="65"/>
      <c r="I31" s="65"/>
      <c r="J31" s="65"/>
      <c r="K31" s="65"/>
      <c r="L31" s="65"/>
      <c r="M31" s="65"/>
    </row>
    <row r="32" spans="2:13" x14ac:dyDescent="0.2">
      <c r="B32" s="54" t="s">
        <v>134</v>
      </c>
      <c r="C32" s="2"/>
      <c r="D32" s="2"/>
      <c r="E32" s="2"/>
      <c r="F32" s="2"/>
      <c r="G32" s="2"/>
      <c r="H32" s="2"/>
      <c r="I32" s="2"/>
      <c r="J32" s="2"/>
      <c r="K32" s="2"/>
      <c r="L32" s="2"/>
      <c r="M32" s="2"/>
    </row>
    <row r="34" spans="2:8" x14ac:dyDescent="0.2">
      <c r="B34" s="42" t="s">
        <v>6</v>
      </c>
      <c r="H34" s="11" t="s">
        <v>8</v>
      </c>
    </row>
    <row r="36" spans="2:8" x14ac:dyDescent="0.2">
      <c r="B36" s="43" t="s">
        <v>3</v>
      </c>
      <c r="C36" s="8"/>
      <c r="D36" s="7" t="s">
        <v>7</v>
      </c>
      <c r="E36" s="7"/>
      <c r="F36" s="7"/>
      <c r="G36" s="7"/>
      <c r="H36" s="7"/>
    </row>
    <row r="37" spans="2:8" x14ac:dyDescent="0.2">
      <c r="B37" s="44"/>
      <c r="C37" s="10"/>
    </row>
    <row r="38" spans="2:8" x14ac:dyDescent="0.2">
      <c r="B38" s="44"/>
      <c r="C38" s="10"/>
    </row>
    <row r="39" spans="2:8" x14ac:dyDescent="0.2">
      <c r="B39" s="44"/>
      <c r="C39" s="10"/>
    </row>
    <row r="40" spans="2:8" x14ac:dyDescent="0.2">
      <c r="B40" s="44"/>
      <c r="C40" s="10"/>
    </row>
    <row r="41" spans="2:8" x14ac:dyDescent="0.2">
      <c r="B41" s="44"/>
      <c r="C41" s="10"/>
    </row>
    <row r="42" spans="2:8" x14ac:dyDescent="0.2">
      <c r="B42" s="44"/>
      <c r="C42" s="10"/>
    </row>
    <row r="43" spans="2:8" x14ac:dyDescent="0.2">
      <c r="B43" s="44"/>
      <c r="C43" s="10"/>
    </row>
    <row r="44" spans="2:8" x14ac:dyDescent="0.2">
      <c r="B44" s="44"/>
      <c r="C44" s="10"/>
    </row>
    <row r="45" spans="2:8" x14ac:dyDescent="0.2">
      <c r="B45" s="44"/>
      <c r="C45" s="10"/>
    </row>
    <row r="48" spans="2:8" ht="15.75" x14ac:dyDescent="0.2">
      <c r="B48" s="46" t="s">
        <v>9</v>
      </c>
    </row>
    <row r="50" spans="2:13" ht="222.75" customHeight="1" x14ac:dyDescent="0.2">
      <c r="B50" s="64" t="s">
        <v>37</v>
      </c>
      <c r="C50" s="64"/>
      <c r="D50" s="64"/>
      <c r="E50" s="64"/>
      <c r="F50" s="64"/>
      <c r="G50" s="64"/>
      <c r="H50" s="64"/>
      <c r="I50" s="64"/>
      <c r="J50" s="64"/>
      <c r="K50" s="64"/>
      <c r="L50" s="64"/>
      <c r="M50" s="64"/>
    </row>
  </sheetData>
  <mergeCells count="2">
    <mergeCell ref="B50:M50"/>
    <mergeCell ref="B31:M31"/>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3:H12"/>
  <sheetViews>
    <sheetView workbookViewId="0">
      <selection activeCell="G24" sqref="G24"/>
    </sheetView>
  </sheetViews>
  <sheetFormatPr defaultColWidth="10.875" defaultRowHeight="15" x14ac:dyDescent="0.2"/>
  <cols>
    <col min="1" max="1" width="2.375" style="1" customWidth="1"/>
    <col min="2" max="8" width="10.875" style="1"/>
    <col min="9" max="9" width="3.875" style="1" customWidth="1"/>
    <col min="10" max="16384" width="10.875" style="1"/>
  </cols>
  <sheetData>
    <row r="3" spans="2:8" ht="20.25" x14ac:dyDescent="0.3">
      <c r="B3" s="60" t="str">
        <f>MAIN!B10</f>
        <v>Valuation model for CCS</v>
      </c>
      <c r="C3" s="60"/>
      <c r="D3" s="60"/>
      <c r="E3" s="60"/>
      <c r="F3" s="60"/>
      <c r="G3" s="60"/>
      <c r="H3" s="60"/>
    </row>
    <row r="5" spans="2:8" x14ac:dyDescent="0.2">
      <c r="B5" s="6" t="s">
        <v>10</v>
      </c>
    </row>
    <row r="7" spans="2:8" ht="159.94999999999999" customHeight="1" x14ac:dyDescent="0.2">
      <c r="B7" s="66" t="s">
        <v>40</v>
      </c>
      <c r="C7" s="61"/>
      <c r="D7" s="61"/>
      <c r="E7" s="61"/>
      <c r="F7" s="61"/>
      <c r="G7" s="61"/>
      <c r="H7" s="61"/>
    </row>
    <row r="10" spans="2:8" x14ac:dyDescent="0.2">
      <c r="B10" s="6" t="s">
        <v>11</v>
      </c>
    </row>
    <row r="12" spans="2:8" x14ac:dyDescent="0.2">
      <c r="B12" s="1" t="s">
        <v>12</v>
      </c>
    </row>
  </sheetData>
  <mergeCells count="2">
    <mergeCell ref="B3:H3"/>
    <mergeCell ref="B7: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3:H16"/>
  <sheetViews>
    <sheetView workbookViewId="0">
      <selection activeCell="H33" sqref="H33"/>
    </sheetView>
  </sheetViews>
  <sheetFormatPr defaultColWidth="10.875" defaultRowHeight="15" x14ac:dyDescent="0.2"/>
  <cols>
    <col min="1" max="1" width="3.5" style="1" customWidth="1"/>
    <col min="2" max="8" width="10.875" style="1"/>
    <col min="9" max="9" width="2" style="1" customWidth="1"/>
    <col min="10" max="16384" width="10.875" style="1"/>
  </cols>
  <sheetData>
    <row r="3" spans="2:8" ht="20.25" x14ac:dyDescent="0.3">
      <c r="B3" s="60" t="str">
        <f>MAIN!B10</f>
        <v>Valuation model for CCS</v>
      </c>
      <c r="C3" s="60"/>
      <c r="D3" s="60"/>
      <c r="E3" s="60"/>
      <c r="F3" s="60"/>
      <c r="G3" s="60"/>
      <c r="H3" s="60"/>
    </row>
    <row r="5" spans="2:8" x14ac:dyDescent="0.2">
      <c r="B5" s="6" t="s">
        <v>13</v>
      </c>
    </row>
    <row r="7" spans="2:8" x14ac:dyDescent="0.2">
      <c r="B7" s="16" t="s">
        <v>38</v>
      </c>
    </row>
    <row r="8" spans="2:8" x14ac:dyDescent="0.2">
      <c r="B8" s="67"/>
      <c r="C8" s="67"/>
      <c r="D8" s="67"/>
      <c r="E8" s="67"/>
      <c r="F8" s="67"/>
      <c r="G8" s="67"/>
      <c r="H8" s="67"/>
    </row>
    <row r="11" spans="2:8" x14ac:dyDescent="0.2">
      <c r="B11" s="1" t="s">
        <v>14</v>
      </c>
    </row>
    <row r="12" spans="2:8" ht="15" customHeight="1" x14ac:dyDescent="0.2">
      <c r="B12" s="66" t="s">
        <v>70</v>
      </c>
      <c r="C12" s="66"/>
      <c r="D12" s="66"/>
      <c r="E12" s="66"/>
      <c r="F12" s="66"/>
      <c r="G12" s="66"/>
      <c r="H12" s="66"/>
    </row>
    <row r="13" spans="2:8" x14ac:dyDescent="0.2">
      <c r="B13" s="66"/>
      <c r="C13" s="66"/>
      <c r="D13" s="66"/>
      <c r="E13" s="66"/>
      <c r="F13" s="66"/>
      <c r="G13" s="66"/>
      <c r="H13" s="66"/>
    </row>
    <row r="14" spans="2:8" x14ac:dyDescent="0.2">
      <c r="B14" s="66"/>
      <c r="C14" s="66"/>
      <c r="D14" s="66"/>
      <c r="E14" s="66"/>
      <c r="F14" s="66"/>
      <c r="G14" s="66"/>
      <c r="H14" s="66"/>
    </row>
    <row r="15" spans="2:8" x14ac:dyDescent="0.2">
      <c r="B15" s="66"/>
      <c r="C15" s="66"/>
      <c r="D15" s="66"/>
      <c r="E15" s="66"/>
      <c r="F15" s="66"/>
      <c r="G15" s="66"/>
      <c r="H15" s="66"/>
    </row>
    <row r="16" spans="2:8" x14ac:dyDescent="0.2">
      <c r="B16" s="66"/>
      <c r="C16" s="66"/>
      <c r="D16" s="66"/>
      <c r="E16" s="66"/>
      <c r="F16" s="66"/>
      <c r="G16" s="66"/>
      <c r="H16" s="66"/>
    </row>
  </sheetData>
  <mergeCells count="3">
    <mergeCell ref="B3:H3"/>
    <mergeCell ref="B8:H8"/>
    <mergeCell ref="B12:H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3:J18"/>
  <sheetViews>
    <sheetView workbookViewId="0">
      <selection activeCell="G18" sqref="G18"/>
    </sheetView>
  </sheetViews>
  <sheetFormatPr defaultColWidth="10.875" defaultRowHeight="15" x14ac:dyDescent="0.2"/>
  <cols>
    <col min="1" max="1" width="3.625" style="1" customWidth="1"/>
    <col min="2" max="16384" width="10.875" style="1"/>
  </cols>
  <sheetData>
    <row r="3" spans="2:10" ht="20.25" x14ac:dyDescent="0.3">
      <c r="B3" s="60" t="str">
        <f>MAIN!B10</f>
        <v>Valuation model for CCS</v>
      </c>
      <c r="C3" s="60"/>
      <c r="D3" s="60"/>
      <c r="E3" s="60"/>
      <c r="F3" s="60"/>
      <c r="G3" s="60"/>
      <c r="H3" s="60"/>
    </row>
    <row r="5" spans="2:10" x14ac:dyDescent="0.2">
      <c r="B5" s="6" t="s">
        <v>15</v>
      </c>
    </row>
    <row r="7" spans="2:10" ht="86.25" customHeight="1" x14ac:dyDescent="0.2">
      <c r="B7" s="66" t="s">
        <v>43</v>
      </c>
      <c r="C7" s="66"/>
      <c r="D7" s="66"/>
      <c r="E7" s="66"/>
      <c r="F7" s="66"/>
      <c r="G7" s="66"/>
      <c r="H7" s="66"/>
      <c r="I7" s="66"/>
      <c r="J7" s="66"/>
    </row>
    <row r="8" spans="2:10" s="19" customFormat="1" ht="60" customHeight="1" x14ac:dyDescent="0.25">
      <c r="B8" s="66" t="s">
        <v>42</v>
      </c>
      <c r="C8" s="66"/>
      <c r="D8" s="66"/>
      <c r="E8" s="66"/>
      <c r="F8" s="66"/>
      <c r="G8" s="66"/>
      <c r="H8" s="66"/>
      <c r="I8" s="66"/>
      <c r="J8" s="66"/>
    </row>
    <row r="11" spans="2:10" ht="15.75" x14ac:dyDescent="0.25">
      <c r="B11" s="14" t="s">
        <v>44</v>
      </c>
    </row>
    <row r="16" spans="2:10" x14ac:dyDescent="0.2">
      <c r="B16" s="16" t="s">
        <v>41</v>
      </c>
    </row>
    <row r="17" spans="2:2" x14ac:dyDescent="0.2">
      <c r="B17" s="21" t="s">
        <v>45</v>
      </c>
    </row>
    <row r="18" spans="2:2" x14ac:dyDescent="0.2">
      <c r="B18" s="53" t="s">
        <v>136</v>
      </c>
    </row>
  </sheetData>
  <mergeCells count="3">
    <mergeCell ref="B3:H3"/>
    <mergeCell ref="B7:J7"/>
    <mergeCell ref="B8:J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3:Q58"/>
  <sheetViews>
    <sheetView tabSelected="1" zoomScaleNormal="100" workbookViewId="0">
      <selection activeCell="E23" sqref="E23"/>
    </sheetView>
  </sheetViews>
  <sheetFormatPr defaultColWidth="10.875" defaultRowHeight="15" x14ac:dyDescent="0.2"/>
  <cols>
    <col min="1" max="1" width="3.125" style="1" customWidth="1"/>
    <col min="2" max="2" width="28.625" style="1" customWidth="1"/>
    <col min="3" max="3" width="22.125" style="1" bestFit="1" customWidth="1"/>
    <col min="4" max="4" width="21.625" style="1" customWidth="1"/>
    <col min="5" max="5" width="21.25" style="1" bestFit="1" customWidth="1"/>
    <col min="6" max="8" width="17.625" style="1" bestFit="1" customWidth="1"/>
    <col min="9" max="9" width="18.5" style="1" bestFit="1" customWidth="1"/>
    <col min="10" max="11" width="17.625" style="1" bestFit="1" customWidth="1"/>
    <col min="12" max="12" width="19.375" style="1" customWidth="1"/>
    <col min="13" max="13" width="18.25" style="1" customWidth="1"/>
    <col min="14" max="16384" width="10.875" style="1"/>
  </cols>
  <sheetData>
    <row r="3" spans="2:17" ht="20.25" x14ac:dyDescent="0.3">
      <c r="B3" s="60" t="str">
        <f>MAIN!B10</f>
        <v>Valuation model for CCS</v>
      </c>
      <c r="C3" s="60"/>
      <c r="D3" s="60"/>
      <c r="E3" s="60"/>
      <c r="F3" s="60"/>
      <c r="G3" s="60"/>
      <c r="H3" s="60"/>
    </row>
    <row r="5" spans="2:17" x14ac:dyDescent="0.2">
      <c r="B5" s="6" t="s">
        <v>16</v>
      </c>
    </row>
    <row r="7" spans="2:17" x14ac:dyDescent="0.2">
      <c r="B7" s="61" t="s">
        <v>17</v>
      </c>
      <c r="C7" s="61"/>
      <c r="D7" s="61"/>
      <c r="E7" s="61"/>
      <c r="F7" s="61"/>
      <c r="G7" s="61"/>
      <c r="H7" s="61"/>
    </row>
    <row r="10" spans="2:17" x14ac:dyDescent="0.2">
      <c r="B10" s="6" t="s">
        <v>18</v>
      </c>
    </row>
    <row r="11" spans="2:17" x14ac:dyDescent="0.2">
      <c r="B11" s="22" t="s">
        <v>54</v>
      </c>
      <c r="C11" s="7"/>
      <c r="F11" s="27" t="s">
        <v>46</v>
      </c>
      <c r="G11" s="27" t="s">
        <v>143</v>
      </c>
      <c r="H11" s="27" t="s">
        <v>144</v>
      </c>
      <c r="I11" s="27" t="s">
        <v>145</v>
      </c>
      <c r="J11" s="27" t="s">
        <v>146</v>
      </c>
    </row>
    <row r="12" spans="2:17" x14ac:dyDescent="0.2">
      <c r="B12" s="1" t="s">
        <v>77</v>
      </c>
      <c r="C12" s="23" t="s">
        <v>74</v>
      </c>
      <c r="F12" s="75" t="s">
        <v>60</v>
      </c>
      <c r="G12" s="72">
        <v>30</v>
      </c>
      <c r="H12" s="29">
        <v>1.2513959999999999E-2</v>
      </c>
      <c r="I12" s="29">
        <v>1.2527440000000001E-2</v>
      </c>
      <c r="J12" s="29">
        <v>1.7000000000000001E-2</v>
      </c>
    </row>
    <row r="13" spans="2:17" x14ac:dyDescent="0.2">
      <c r="B13" s="1" t="s">
        <v>46</v>
      </c>
      <c r="C13" s="23" t="s">
        <v>67</v>
      </c>
      <c r="F13" s="75" t="s">
        <v>61</v>
      </c>
      <c r="G13" s="72">
        <v>60</v>
      </c>
      <c r="H13" s="29">
        <v>1.2707420000000001E-2</v>
      </c>
      <c r="I13" s="29">
        <v>1.3430589999999999E-2</v>
      </c>
      <c r="J13" s="29">
        <v>2.8999999999999998E-2</v>
      </c>
    </row>
    <row r="14" spans="2:17" x14ac:dyDescent="0.2">
      <c r="B14" s="1" t="s">
        <v>47</v>
      </c>
      <c r="C14" s="69" t="s">
        <v>138</v>
      </c>
      <c r="F14" s="55" t="s">
        <v>63</v>
      </c>
      <c r="G14" s="72">
        <v>90</v>
      </c>
      <c r="H14" s="29">
        <v>1.2911010000000001E-2</v>
      </c>
      <c r="I14" s="29">
        <v>1.413612E-2</v>
      </c>
      <c r="J14" s="29">
        <v>3.4000000000000002E-2</v>
      </c>
      <c r="K14" s="29"/>
      <c r="L14" s="72"/>
      <c r="M14" s="9"/>
      <c r="N14" s="17"/>
      <c r="O14" s="35"/>
      <c r="P14" s="34"/>
      <c r="Q14" s="9"/>
    </row>
    <row r="15" spans="2:17" x14ac:dyDescent="0.2">
      <c r="B15" s="1" t="s">
        <v>48</v>
      </c>
      <c r="C15" s="24">
        <v>9.8500000000000004E-2</v>
      </c>
      <c r="F15" s="55" t="s">
        <v>64</v>
      </c>
      <c r="G15" s="72">
        <v>180</v>
      </c>
      <c r="H15" s="29">
        <v>1.3545730000000001E-2</v>
      </c>
      <c r="I15" s="29">
        <v>1.4692790000000001E-2</v>
      </c>
      <c r="J15" s="29">
        <v>3.5000000000000003E-2</v>
      </c>
      <c r="K15" s="29"/>
      <c r="L15" s="72"/>
      <c r="M15" s="9"/>
      <c r="N15" s="17"/>
      <c r="O15" s="35"/>
      <c r="P15" s="34"/>
      <c r="Q15" s="9"/>
    </row>
    <row r="16" spans="2:17" x14ac:dyDescent="0.2">
      <c r="B16" s="1" t="s">
        <v>49</v>
      </c>
      <c r="C16" s="23" t="s">
        <v>140</v>
      </c>
      <c r="F16" s="55" t="s">
        <v>65</v>
      </c>
      <c r="G16" s="72">
        <v>270</v>
      </c>
      <c r="H16" s="29">
        <v>1.4094450000000001E-2</v>
      </c>
      <c r="I16" s="29">
        <v>1.516589E-2</v>
      </c>
      <c r="J16" s="29">
        <v>3.9E-2</v>
      </c>
      <c r="K16" s="29"/>
      <c r="L16" s="72"/>
      <c r="M16" s="9"/>
      <c r="N16" s="17"/>
      <c r="O16" s="35"/>
      <c r="P16" s="9"/>
      <c r="Q16" s="9"/>
    </row>
    <row r="17" spans="2:17" x14ac:dyDescent="0.2">
      <c r="B17" s="1" t="s">
        <v>50</v>
      </c>
      <c r="C17" s="18" t="s">
        <v>75</v>
      </c>
      <c r="F17" s="55" t="s">
        <v>67</v>
      </c>
      <c r="G17" s="72">
        <v>365</v>
      </c>
      <c r="H17" s="29">
        <v>1.455822E-2</v>
      </c>
      <c r="I17" s="29">
        <v>1.559898E-2</v>
      </c>
      <c r="J17" s="29">
        <v>4.300000000000001E-2</v>
      </c>
      <c r="K17" s="29"/>
      <c r="L17" s="72"/>
      <c r="M17" s="9"/>
      <c r="N17" s="17"/>
      <c r="O17" s="35"/>
      <c r="P17" s="34"/>
      <c r="Q17" s="9"/>
    </row>
    <row r="18" spans="2:17" x14ac:dyDescent="0.2">
      <c r="B18" s="1" t="s">
        <v>51</v>
      </c>
      <c r="C18" s="23" t="s">
        <v>64</v>
      </c>
      <c r="F18" s="1" t="s">
        <v>68</v>
      </c>
      <c r="G18" s="72">
        <v>730</v>
      </c>
      <c r="H18" s="29">
        <v>1.5991350000000001E-2</v>
      </c>
      <c r="I18" s="29">
        <v>1.7073709999999999E-2</v>
      </c>
      <c r="J18" s="29">
        <v>4.6500000000000007E-2</v>
      </c>
      <c r="L18" s="29"/>
      <c r="M18" s="9"/>
      <c r="N18" s="9"/>
      <c r="O18" s="35"/>
      <c r="P18" s="34"/>
      <c r="Q18" s="9"/>
    </row>
    <row r="19" spans="2:17" x14ac:dyDescent="0.2">
      <c r="B19" s="1" t="s">
        <v>52</v>
      </c>
      <c r="C19" s="23" t="s">
        <v>53</v>
      </c>
      <c r="L19" s="29"/>
      <c r="M19" s="9"/>
      <c r="N19" s="9"/>
      <c r="O19" s="34"/>
      <c r="P19" s="34"/>
      <c r="Q19" s="9"/>
    </row>
    <row r="20" spans="2:17" x14ac:dyDescent="0.2">
      <c r="B20" s="1" t="s">
        <v>69</v>
      </c>
      <c r="C20" s="23" t="s">
        <v>96</v>
      </c>
      <c r="L20" s="29"/>
      <c r="M20" s="9"/>
      <c r="N20" s="9"/>
      <c r="O20" s="34"/>
      <c r="P20" s="9"/>
      <c r="Q20" s="9"/>
    </row>
    <row r="21" spans="2:17" x14ac:dyDescent="0.2">
      <c r="B21" s="1" t="s">
        <v>76</v>
      </c>
      <c r="C21" s="1">
        <v>22735</v>
      </c>
      <c r="D21" s="68"/>
      <c r="L21" s="29"/>
      <c r="M21" s="9"/>
      <c r="N21" s="9"/>
      <c r="O21" s="34"/>
      <c r="P21" s="9"/>
      <c r="Q21" s="9"/>
    </row>
    <row r="22" spans="2:17" x14ac:dyDescent="0.2">
      <c r="B22" s="1" t="s">
        <v>62</v>
      </c>
      <c r="C22" s="33">
        <v>42947</v>
      </c>
      <c r="G22" s="73"/>
      <c r="H22" s="74"/>
      <c r="I22" s="74"/>
      <c r="J22" s="74"/>
      <c r="K22" s="23"/>
    </row>
    <row r="23" spans="2:17" x14ac:dyDescent="0.2">
      <c r="B23" s="1" t="s">
        <v>105</v>
      </c>
      <c r="C23" s="1">
        <v>22740</v>
      </c>
      <c r="G23" s="73"/>
      <c r="H23" s="74"/>
      <c r="I23" s="74"/>
      <c r="J23" s="74"/>
      <c r="K23" s="23"/>
    </row>
    <row r="24" spans="2:17" x14ac:dyDescent="0.2">
      <c r="B24" s="1" t="s">
        <v>141</v>
      </c>
      <c r="C24" s="70">
        <v>1.3664600000000001E-2</v>
      </c>
      <c r="G24" s="73"/>
      <c r="H24" s="74"/>
      <c r="I24" s="74"/>
      <c r="J24" s="74"/>
      <c r="K24" s="23"/>
    </row>
    <row r="25" spans="2:17" x14ac:dyDescent="0.2">
      <c r="C25" s="70"/>
      <c r="G25" s="28"/>
    </row>
    <row r="26" spans="2:17" x14ac:dyDescent="0.2">
      <c r="B26" s="6" t="s">
        <v>19</v>
      </c>
      <c r="E26" s="31"/>
    </row>
    <row r="28" spans="2:17" x14ac:dyDescent="0.2">
      <c r="B28" s="20" t="s">
        <v>58</v>
      </c>
    </row>
    <row r="30" spans="2:17" x14ac:dyDescent="0.2">
      <c r="B30" s="7" t="s">
        <v>59</v>
      </c>
      <c r="C30" s="7" t="s">
        <v>78</v>
      </c>
      <c r="D30" s="7" t="s">
        <v>80</v>
      </c>
      <c r="E30" s="7" t="s">
        <v>139</v>
      </c>
      <c r="F30" s="7" t="s">
        <v>79</v>
      </c>
      <c r="G30" s="7" t="s">
        <v>81</v>
      </c>
      <c r="H30" s="7" t="s">
        <v>142</v>
      </c>
    </row>
    <row r="31" spans="2:17" x14ac:dyDescent="0.2">
      <c r="B31" s="76">
        <f>C38-$C$22</f>
        <v>149</v>
      </c>
      <c r="C31" s="29">
        <f>I14+(B31-G14)/(G15-G14)*(I15-I14)</f>
        <v>1.4501048111111112E-2</v>
      </c>
      <c r="D31" s="29">
        <f>1/(1+C31)^(B31/360)</f>
        <v>0.99405899548094145</v>
      </c>
      <c r="E31" s="29">
        <f>C24+4.75%</f>
        <v>6.11646E-2</v>
      </c>
      <c r="F31" s="29">
        <f>J14+(B31-G14)/(G15-G14)*(J15-J14)</f>
        <v>3.4655555555555558E-2</v>
      </c>
      <c r="G31" s="29">
        <f>1/(1+F31)^(B31/360)</f>
        <v>0.98599834334842074</v>
      </c>
      <c r="H31" s="29">
        <f>H14+(B31-G14)/(G15-G14)*(H15-H14)</f>
        <v>1.3327104222222223E-2</v>
      </c>
    </row>
    <row r="32" spans="2:17" x14ac:dyDescent="0.2">
      <c r="B32" s="76">
        <f>C39-$C$22</f>
        <v>331</v>
      </c>
      <c r="C32" s="29">
        <f>I16+(B32-G16)/(G17-G16)*(I17-I16)</f>
        <v>1.5443979368421052E-2</v>
      </c>
      <c r="D32" s="29">
        <f>1/(1+C32)^(B32/360)</f>
        <v>0.98600747256006216</v>
      </c>
      <c r="E32" s="29">
        <f>(D31/D32-1)*(360/(B32-B31))+4.75%</f>
        <v>6.3652097968077678E-2</v>
      </c>
      <c r="F32" s="29">
        <f>J16+(B32-G16)/(G17-G16)*(J17-J16)</f>
        <v>4.1568421052631588E-2</v>
      </c>
      <c r="G32" s="29">
        <f>1/(1+F32)^(B32/360)</f>
        <v>0.96324562841676853</v>
      </c>
      <c r="H32" s="29">
        <f>H16+(B32-G16)/(G17-G16)*(H17-H16)</f>
        <v>1.4392239157894737E-2</v>
      </c>
    </row>
    <row r="33" spans="2:16" x14ac:dyDescent="0.2">
      <c r="B33" s="76"/>
      <c r="C33" s="71"/>
      <c r="D33" s="29"/>
      <c r="E33" s="29"/>
      <c r="F33" s="29"/>
      <c r="G33" s="29"/>
    </row>
    <row r="35" spans="2:16" x14ac:dyDescent="0.2">
      <c r="B35" s="39" t="s">
        <v>147</v>
      </c>
    </row>
    <row r="36" spans="2:16" s="38" customFormat="1" ht="30" x14ac:dyDescent="0.2">
      <c r="B36" s="36" t="s">
        <v>56</v>
      </c>
      <c r="C36" s="36" t="s">
        <v>57</v>
      </c>
      <c r="D36" s="37" t="s">
        <v>82</v>
      </c>
      <c r="E36" s="37" t="s">
        <v>83</v>
      </c>
      <c r="F36" s="37" t="s">
        <v>85</v>
      </c>
      <c r="G36" s="37" t="s">
        <v>83</v>
      </c>
      <c r="H36" s="37" t="s">
        <v>87</v>
      </c>
      <c r="I36" s="37" t="s">
        <v>86</v>
      </c>
      <c r="J36" s="37" t="s">
        <v>88</v>
      </c>
      <c r="K36" s="37" t="s">
        <v>89</v>
      </c>
      <c r="N36" s="41"/>
      <c r="O36" s="41"/>
      <c r="P36" s="41"/>
    </row>
    <row r="37" spans="2:16" x14ac:dyDescent="0.2">
      <c r="B37" s="25"/>
      <c r="C37" s="25">
        <v>42913</v>
      </c>
      <c r="D37" s="26">
        <v>909400000000</v>
      </c>
      <c r="E37" s="26" t="s">
        <v>84</v>
      </c>
      <c r="F37" s="26">
        <v>40000000</v>
      </c>
      <c r="G37" s="1" t="s">
        <v>55</v>
      </c>
      <c r="J37" s="31">
        <f>F37</f>
        <v>40000000</v>
      </c>
      <c r="K37" s="31">
        <f>D37</f>
        <v>909400000000</v>
      </c>
    </row>
    <row r="38" spans="2:16" x14ac:dyDescent="0.2">
      <c r="B38" s="25">
        <v>42913</v>
      </c>
      <c r="C38" s="25">
        <v>43096</v>
      </c>
      <c r="D38" s="26"/>
      <c r="E38" s="26"/>
      <c r="F38" s="26"/>
      <c r="H38" s="26">
        <f>D37*$C$15*(C38-B38)/360</f>
        <v>45534415833.333336</v>
      </c>
      <c r="I38" s="26">
        <f>F37*E31*(C38-B38)/360</f>
        <v>1243680.2</v>
      </c>
      <c r="J38" s="31">
        <f>F38+H38</f>
        <v>45534415833.333336</v>
      </c>
      <c r="K38" s="31">
        <f>D38+I38</f>
        <v>1243680.2</v>
      </c>
    </row>
    <row r="39" spans="2:16" x14ac:dyDescent="0.2">
      <c r="B39" s="25">
        <v>43096</v>
      </c>
      <c r="C39" s="25">
        <v>43278</v>
      </c>
      <c r="D39" s="26">
        <v>40000000</v>
      </c>
      <c r="E39" s="26" t="s">
        <v>55</v>
      </c>
      <c r="F39" s="26">
        <v>909400000000</v>
      </c>
      <c r="G39" s="1" t="s">
        <v>84</v>
      </c>
      <c r="H39" s="26">
        <f>D37*$C$15*(C39-B39)/360</f>
        <v>45285593888.888885</v>
      </c>
      <c r="I39" s="26">
        <f>F37*E32*(C39-B39)/360</f>
        <v>1287186.8700211265</v>
      </c>
      <c r="J39" s="31">
        <f>F39+H39</f>
        <v>954685593888.88892</v>
      </c>
      <c r="K39" s="31">
        <f>D39+I39</f>
        <v>41287186.870021127</v>
      </c>
    </row>
    <row r="40" spans="2:16" x14ac:dyDescent="0.2">
      <c r="B40" s="25"/>
      <c r="C40" s="25"/>
      <c r="D40" s="26"/>
      <c r="E40" s="26"/>
      <c r="F40" s="26"/>
      <c r="G40" s="26"/>
      <c r="H40" s="31"/>
      <c r="J40" s="26"/>
      <c r="K40" s="26"/>
      <c r="L40" s="31"/>
      <c r="M40" s="31"/>
    </row>
    <row r="42" spans="2:16" x14ac:dyDescent="0.2">
      <c r="B42" s="20" t="s">
        <v>66</v>
      </c>
    </row>
    <row r="44" spans="2:16" s="49" customFormat="1" ht="30" x14ac:dyDescent="0.25">
      <c r="B44" s="47" t="s">
        <v>56</v>
      </c>
      <c r="C44" s="47" t="s">
        <v>57</v>
      </c>
      <c r="D44" s="48" t="s">
        <v>59</v>
      </c>
      <c r="E44" s="48" t="s">
        <v>104</v>
      </c>
      <c r="F44" s="48" t="s">
        <v>90</v>
      </c>
      <c r="G44" s="48" t="s">
        <v>91</v>
      </c>
    </row>
    <row r="45" spans="2:16" x14ac:dyDescent="0.2">
      <c r="B45" s="25">
        <v>42913</v>
      </c>
      <c r="C45" s="25">
        <v>43096</v>
      </c>
      <c r="D45" s="76">
        <f>C45-$C$22</f>
        <v>149</v>
      </c>
      <c r="E45" s="29">
        <f>1/(1+H31)^(D45/360)</f>
        <v>0.99453547718265856</v>
      </c>
      <c r="F45" s="31">
        <f>J38*G31</f>
        <v>44896858577.004768</v>
      </c>
      <c r="G45" s="31">
        <f>K38*E45</f>
        <v>1236884.0811696241</v>
      </c>
    </row>
    <row r="46" spans="2:16" x14ac:dyDescent="0.2">
      <c r="B46" s="25">
        <v>43096</v>
      </c>
      <c r="C46" s="25">
        <v>43278</v>
      </c>
      <c r="D46" s="76">
        <f t="shared" ref="D46" si="0">C46-$C$22</f>
        <v>331</v>
      </c>
      <c r="E46" s="29">
        <f>1/(1+H32)^(D46/360)</f>
        <v>0.9869473909128923</v>
      </c>
      <c r="F46" s="31">
        <f>J39*G32</f>
        <v>919596724825.93872</v>
      </c>
      <c r="G46" s="31">
        <f>K39*E46</f>
        <v>40748281.359500378</v>
      </c>
    </row>
    <row r="47" spans="2:16" x14ac:dyDescent="0.2">
      <c r="B47" s="25"/>
      <c r="C47" s="25"/>
      <c r="D47" s="30"/>
      <c r="E47" s="29"/>
      <c r="F47" s="31"/>
      <c r="G47" s="31"/>
    </row>
    <row r="49" spans="2:5" x14ac:dyDescent="0.2">
      <c r="B49" s="39" t="s">
        <v>92</v>
      </c>
    </row>
    <row r="51" spans="2:5" x14ac:dyDescent="0.2">
      <c r="B51" s="27" t="s">
        <v>56</v>
      </c>
      <c r="C51" s="27" t="s">
        <v>57</v>
      </c>
      <c r="D51" s="7" t="s">
        <v>93</v>
      </c>
      <c r="E51" s="7" t="s">
        <v>94</v>
      </c>
    </row>
    <row r="52" spans="2:5" x14ac:dyDescent="0.2">
      <c r="B52" s="25">
        <v>42913</v>
      </c>
      <c r="C52" s="25">
        <v>43096</v>
      </c>
      <c r="D52" s="31">
        <f>F45</f>
        <v>44896858577.004768</v>
      </c>
      <c r="E52" s="31">
        <f>G45*C23</f>
        <v>28126744005.797253</v>
      </c>
    </row>
    <row r="53" spans="2:5" x14ac:dyDescent="0.2">
      <c r="B53" s="25">
        <v>43096</v>
      </c>
      <c r="C53" s="25">
        <v>43278</v>
      </c>
      <c r="D53" s="31">
        <f>F46</f>
        <v>919596724825.93872</v>
      </c>
      <c r="E53" s="31">
        <f>G46*C23</f>
        <v>926615918115.03857</v>
      </c>
    </row>
    <row r="55" spans="2:5" x14ac:dyDescent="0.2">
      <c r="B55" s="39" t="s">
        <v>95</v>
      </c>
    </row>
    <row r="57" spans="2:5" x14ac:dyDescent="0.2">
      <c r="B57" s="1" t="s">
        <v>97</v>
      </c>
      <c r="C57" s="32">
        <f>SUM(D52:D53)-SUM(E52:E53)</f>
        <v>9750921282.107666</v>
      </c>
    </row>
    <row r="58" spans="2:5" x14ac:dyDescent="0.2">
      <c r="C58" s="40"/>
    </row>
  </sheetData>
  <mergeCells count="2">
    <mergeCell ref="B3:H3"/>
    <mergeCell ref="B7: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MAIN</vt:lpstr>
      <vt:lpstr>1. Description</vt:lpstr>
      <vt:lpstr>2. Model inputs</vt:lpstr>
      <vt:lpstr>3. Unobservable inputs</vt:lpstr>
      <vt:lpstr>4. Fair Value Level</vt:lpstr>
      <vt:lpstr>5. Calculation formulas</vt:lpstr>
      <vt:lpstr>6. Example</vt:lpstr>
      <vt:lpstr>MAIN!Print_Area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linhlt5</cp:lastModifiedBy>
  <dcterms:created xsi:type="dcterms:W3CDTF">2016-03-23T11:21:22Z</dcterms:created>
  <dcterms:modified xsi:type="dcterms:W3CDTF">2020-01-04T04:35:25Z</dcterms:modified>
</cp:coreProperties>
</file>