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585" windowWidth="20730" windowHeight="11640" tabRatio="753" activeTab="6"/>
  </bookViews>
  <sheets>
    <sheet name="Main" sheetId="1" r:id="rId1"/>
    <sheet name="1. Description" sheetId="2" r:id="rId2"/>
    <sheet name="2. Model inputs" sheetId="3" r:id="rId3"/>
    <sheet name="3. Unobservable inputs" sheetId="4" r:id="rId4"/>
    <sheet name="4. Fair Value Level" sheetId="5" r:id="rId5"/>
    <sheet name="5. Calculation formulas" sheetId="6" r:id="rId6"/>
    <sheet name="6. Example" sheetId="7" r:id="rId7"/>
  </sheets>
  <definedNames>
    <definedName name="_xlnm.Print_Area" localSheetId="1">'1. Description'!$B$1:$J$11</definedName>
    <definedName name="_xlnm.Print_Area" localSheetId="2">'2. Model inputs'!$B$1:$H$39</definedName>
    <definedName name="_xlnm.Print_Area" localSheetId="3">'3. Unobservable inputs'!$B$1:$H$12</definedName>
    <definedName name="_xlnm.Print_Area" localSheetId="4">'4. Fair Value Level'!$B$1:$H$17</definedName>
    <definedName name="_xlnm.Print_Area" localSheetId="5">'5. Calculation formulas'!$B$1:$I$124</definedName>
    <definedName name="_xlnm.Print_Area" localSheetId="6">'6. Example'!$B$1:$H$44</definedName>
    <definedName name="_xlnm.Print_Area" localSheetId="0">Main!$B$1:$I$37</definedName>
  </definedNames>
  <calcPr calcId="145621"/>
  <extLst>
    <ext xmlns:mx="http://schemas.microsoft.com/office/mac/excel/2008/main" uri="{7523E5D3-25F3-A5E0-1632-64F254C22452}">
      <mx:ArchID Flags="2"/>
    </ext>
  </extLst>
</workbook>
</file>

<file path=xl/calcChain.xml><?xml version="1.0" encoding="utf-8"?>
<calcChain xmlns="http://schemas.openxmlformats.org/spreadsheetml/2006/main">
  <c r="D42" i="7" l="1"/>
  <c r="D41" i="7"/>
  <c r="D36" i="7"/>
  <c r="C30" i="7"/>
  <c r="C17" i="7" l="1"/>
  <c r="C16" i="7"/>
  <c r="C41" i="7"/>
  <c r="C42" i="7"/>
  <c r="D43" i="7" l="1"/>
  <c r="I57" i="6"/>
  <c r="I58" i="6" s="1"/>
  <c r="H57" i="6"/>
  <c r="H58" i="6" s="1"/>
  <c r="D57" i="6"/>
  <c r="D58" i="6"/>
  <c r="C57" i="6"/>
  <c r="C58" i="6" s="1"/>
  <c r="D48" i="6"/>
  <c r="D49" i="6" s="1"/>
  <c r="C48" i="6"/>
  <c r="C49" i="6" s="1"/>
  <c r="D30" i="6"/>
  <c r="D31" i="6" s="1"/>
  <c r="D21" i="6"/>
  <c r="D22" i="6" s="1"/>
  <c r="C30" i="6"/>
  <c r="C31" i="6"/>
  <c r="D39" i="6"/>
  <c r="D40" i="6" s="1"/>
  <c r="C39" i="6"/>
  <c r="C40" i="6"/>
  <c r="C21" i="6"/>
  <c r="C22" i="6" s="1"/>
  <c r="B2" i="7"/>
  <c r="B2" i="6"/>
  <c r="B3" i="5"/>
  <c r="B3" i="4"/>
  <c r="B3" i="3"/>
  <c r="B3" i="2"/>
</calcChain>
</file>

<file path=xl/sharedStrings.xml><?xml version="1.0" encoding="utf-8"?>
<sst xmlns="http://schemas.openxmlformats.org/spreadsheetml/2006/main" count="212" uniqueCount="147">
  <si>
    <t>Market Risk Management</t>
  </si>
  <si>
    <t>Applicable for products:</t>
  </si>
  <si>
    <t>[code]</t>
  </si>
  <si>
    <t>Model developed by:</t>
  </si>
  <si>
    <t>Approved by</t>
  </si>
  <si>
    <t>Approval date</t>
  </si>
  <si>
    <t>[approval date]</t>
  </si>
  <si>
    <t>Next review date</t>
  </si>
  <si>
    <t>Input name</t>
  </si>
  <si>
    <t>Reference to market data</t>
  </si>
  <si>
    <t>Observable inputs *</t>
  </si>
  <si>
    <t>Unobservable inputs **</t>
  </si>
  <si>
    <t>Description</t>
  </si>
  <si>
    <t>(see explanation below)</t>
  </si>
  <si>
    <t>Observable and unobservable inputs</t>
  </si>
  <si>
    <t>Unobservable inputs derivation</t>
  </si>
  <si>
    <t>Unobservable inputs monitoring</t>
  </si>
  <si>
    <t>Fair value level concideration</t>
  </si>
  <si>
    <t>Rationals:</t>
  </si>
  <si>
    <t>Formulas for fair value calculation</t>
  </si>
  <si>
    <t>Example</t>
  </si>
  <si>
    <t>Assumed input parameters</t>
  </si>
  <si>
    <t>Calculation</t>
  </si>
  <si>
    <t>Desciption</t>
  </si>
  <si>
    <t>Model uncertainties and risk</t>
  </si>
  <si>
    <t>Valuation model for MM instruments</t>
  </si>
  <si>
    <t>version 0.1</t>
  </si>
  <si>
    <t>[dungnt52]</t>
  </si>
  <si>
    <t>The application of the model will result in: Fair Value Level 2.</t>
  </si>
  <si>
    <t>here</t>
  </si>
  <si>
    <t>CF stands for cash flows</t>
  </si>
  <si>
    <t>Ngày 14/09/2017</t>
  </si>
  <si>
    <t>aud</t>
  </si>
  <si>
    <t>usd</t>
  </si>
  <si>
    <t>tỷ giá ON USD</t>
  </si>
  <si>
    <t>tỷ giá tính toán</t>
  </si>
  <si>
    <t>tỷ giá cho vay thật</t>
  </si>
  <si>
    <t>Ngày 19/01/2017</t>
  </si>
  <si>
    <t>eur</t>
  </si>
  <si>
    <t>cad</t>
  </si>
  <si>
    <t>Ngày 05/07/2017</t>
  </si>
  <si>
    <t>JPY</t>
  </si>
  <si>
    <t>Ngày 05/01/2017</t>
  </si>
  <si>
    <t>SGD</t>
  </si>
  <si>
    <t>Kh techcombank</t>
  </si>
  <si>
    <t>Kh eximbank</t>
  </si>
  <si>
    <t>borrow</t>
  </si>
  <si>
    <t>Ngày 12/07/2017</t>
  </si>
  <si>
    <t>Application</t>
  </si>
  <si>
    <t>[Clean Lending/Placement interbank]</t>
  </si>
  <si>
    <t>[Clean Deposit/Borrowing interbank]</t>
  </si>
  <si>
    <t>Currency</t>
  </si>
  <si>
    <t>Local</t>
  </si>
  <si>
    <t>International</t>
  </si>
  <si>
    <t>VND</t>
  </si>
  <si>
    <t>USD</t>
  </si>
  <si>
    <t>EUR</t>
  </si>
  <si>
    <t>GBP</t>
  </si>
  <si>
    <t>CHF</t>
  </si>
  <si>
    <t>CAD</t>
  </si>
  <si>
    <t>N/A</t>
  </si>
  <si>
    <t>CNY</t>
  </si>
  <si>
    <t>AUD</t>
  </si>
  <si>
    <t>Maturity date</t>
  </si>
  <si>
    <t>fixed</t>
  </si>
  <si>
    <t>Day count convention</t>
  </si>
  <si>
    <t>Principal amount</t>
  </si>
  <si>
    <t>Value date</t>
  </si>
  <si>
    <t>Interest rate type</t>
  </si>
  <si>
    <t>Amortization type</t>
  </si>
  <si>
    <t>bullet</t>
  </si>
  <si>
    <t>Step 1. Calculation of new present value of future cash flows</t>
  </si>
  <si>
    <t>Cash flow dates</t>
  </si>
  <si>
    <t>Cash flow amount</t>
  </si>
  <si>
    <t>Discounted cash flows</t>
  </si>
  <si>
    <t>Reporting date</t>
  </si>
  <si>
    <t>Step 2b. Finilization</t>
  </si>
  <si>
    <t>Step 2a. Interpolation calculation of interest rate</t>
  </si>
  <si>
    <t>interest rate of remaining term</t>
  </si>
  <si>
    <t>Original term</t>
  </si>
  <si>
    <t>Remaining term</t>
  </si>
  <si>
    <t>Contracted Interest rate</t>
  </si>
  <si>
    <t>Transaction static data</t>
  </si>
  <si>
    <t>Number of days</t>
  </si>
  <si>
    <t>Fair value of deal</t>
  </si>
  <si>
    <t>Content</t>
  </si>
  <si>
    <t>[ Collateralized Deposit/Borrowing interbank]</t>
  </si>
  <si>
    <t>[Collateralized Lending/Placement interbank]</t>
  </si>
  <si>
    <r>
      <t xml:space="preserve">Since the discounted cash flows approach is globally used method of MM instruments pricing, model uncertainties are negligible. 
The valuation uncertainties are:
- Limited to those driven by interpolation of valuation curve and are generally assessed as </t>
    </r>
    <r>
      <rPr>
        <sz val="12"/>
        <color theme="9" tint="-0.499984740745262"/>
        <rFont val="Arial"/>
        <family val="2"/>
      </rPr>
      <t xml:space="preserve">low.
</t>
    </r>
    <r>
      <rPr>
        <sz val="12"/>
        <color theme="1"/>
        <rFont val="Arial"/>
        <family val="2"/>
      </rPr>
      <t>- Limited to valuation inputs</t>
    </r>
    <r>
      <rPr>
        <sz val="12"/>
        <color theme="9" tint="-0.499984740745262"/>
        <rFont val="Arial"/>
        <family val="2"/>
      </rPr>
      <t xml:space="preserve">
</t>
    </r>
  </si>
  <si>
    <t>[ Repo]</t>
  </si>
  <si>
    <t>[ Reverse repo]</t>
  </si>
  <si>
    <t>This model does not have any unobservable imputs.</t>
  </si>
  <si>
    <t>The valuation model has solely observable valuation inputs, well known to other market participants and directly observed on the market.</t>
  </si>
  <si>
    <t>[review date]</t>
  </si>
  <si>
    <t>Vnibor VND zero rate</t>
  </si>
  <si>
    <t>VNIBOR</t>
  </si>
  <si>
    <t>Vnibor USD zero rate in Vietnamese market</t>
  </si>
  <si>
    <t>Discount USD zero rate in International market</t>
  </si>
  <si>
    <t>Reuters</t>
  </si>
  <si>
    <t>Lending/Borrowing VND from local FIs</t>
  </si>
  <si>
    <t>Lending/Borrowing USD from international FIs</t>
  </si>
  <si>
    <t>Discount EUR zero rate in International market</t>
  </si>
  <si>
    <t>Discount CAD zero rate in International market</t>
  </si>
  <si>
    <t>Discount CNY zero rate in International market</t>
  </si>
  <si>
    <t>Discount CHF zero rate in International market</t>
  </si>
  <si>
    <t>Lending/Borrowing EUR from international FIs</t>
  </si>
  <si>
    <t>Lending/Borrowing GBP from international FIs</t>
  </si>
  <si>
    <t>Lending/Borrowing AUD from international FIs</t>
  </si>
  <si>
    <t>Lending/Borrowing CAD from international FIs</t>
  </si>
  <si>
    <t>Lending/Borrowing JPY from international FIs</t>
  </si>
  <si>
    <t>Lending/Borrowing CNY from international FIs</t>
  </si>
  <si>
    <t>Lending/Borrowing CHF from international FIs</t>
  </si>
  <si>
    <t>Lending/Borrowing SGD from international FIs</t>
  </si>
  <si>
    <t>Lending/Borrowing HKD from international FIs</t>
  </si>
  <si>
    <t>Lending/Borrowing THB from international FIs</t>
  </si>
  <si>
    <t>HKD</t>
  </si>
  <si>
    <t>THB</t>
  </si>
  <si>
    <t>Note: in transactions with international Fis, the discount rate is defined as</t>
  </si>
  <si>
    <t>[RCO]</t>
  </si>
  <si>
    <r>
      <t xml:space="preserve">The valuation model  is a classical discounted cash flows model and provides fair value of money market instruments with fixed rate including loans and placements at other FIs, deposit and borrowing, repo, reverse repo from other FIs. 
The computation process is as follows:
</t>
    </r>
    <r>
      <rPr>
        <b/>
        <sz val="12"/>
        <color theme="1"/>
        <rFont val="Arial"/>
        <family val="2"/>
      </rPr>
      <t>Step 1:</t>
    </r>
    <r>
      <rPr>
        <sz val="12"/>
        <color theme="1"/>
        <rFont val="Arial"/>
        <family val="2"/>
      </rPr>
      <t xml:space="preserve"> Estimation of all cash flows (both principal and interest, if any) that occur after the evaluation date and till the final maturity; 
</t>
    </r>
    <r>
      <rPr>
        <b/>
        <sz val="12"/>
        <color theme="1"/>
        <rFont val="Arial"/>
        <family val="2"/>
      </rPr>
      <t>Step 2:</t>
    </r>
    <r>
      <rPr>
        <sz val="12"/>
        <color theme="1"/>
        <rFont val="Arial"/>
        <family val="2"/>
      </rPr>
      <t xml:space="preserve"> mapping of cash flows to discount factors derived from interest rate curves in Vietnam interbank offered rate (VNIBOR),  international interbank offered rate (refer to </t>
    </r>
    <r>
      <rPr>
        <i/>
        <sz val="12"/>
        <color theme="1"/>
        <rFont val="Arial"/>
        <family val="2"/>
      </rPr>
      <t>valuation inputs</t>
    </r>
    <r>
      <rPr>
        <sz val="12"/>
        <color theme="1"/>
        <rFont val="Arial"/>
        <family val="2"/>
      </rPr>
      <t xml:space="preserve">), day count convention, holiday convention and computation of discounted cash flows as a product of future cash flows and discount rate. The sum of discounted cash flows is present value of these cash flows. </t>
    </r>
  </si>
  <si>
    <t>Lending/Borrowing USD from local FIs</t>
  </si>
  <si>
    <t>Discount GBP zero rate in International market</t>
  </si>
  <si>
    <t>Discount AUD zero rate in International market</t>
  </si>
  <si>
    <t>Discount JPY zero rate in International market</t>
  </si>
  <si>
    <t>Discount SGD zero rate in International market</t>
  </si>
  <si>
    <t>Discount HKD zero curve in international market</t>
  </si>
  <si>
    <t>Discount THB zero curve in international market</t>
  </si>
  <si>
    <t>MM instrument is a bullet amortization product and the original term is less then or equal to 1 year, therefore the above curves are zero curve</t>
  </si>
  <si>
    <t>For lending/borrowing of other foreign currencies (except USD) from other local FIs, the curves are constructed from:
+ Apply the same curves as lending/borrowing of USD from other local FIs (Vnibor USD zero rate in Vietnamese market) as prompted by local practice due to the illquidity of that currency in Vietnamese market;
+ Add 20 basis point illiquid spread.</t>
  </si>
  <si>
    <t xml:space="preserve">      Discount factor is identified based on the discount rate (symbol "r" in the formula) matrix below</t>
  </si>
  <si>
    <t>Vnibor USD zero rate in Vietnamese market + 20 basis point spread</t>
  </si>
  <si>
    <t>Discount rate = International interest rate curve + Vietnamese CDS + Credit spread of VPBank (in case VPBank is the borrower)/ Credit spread of international FI (in case VPBank is the lender)</t>
  </si>
  <si>
    <t xml:space="preserve">    CDS stands for Credit default swap</t>
  </si>
  <si>
    <t xml:space="preserve">      Discount factor is taken into account day count convention and holiday convention,d: equal to number of accrued days,T: total days in a coupon payment period</t>
  </si>
  <si>
    <t>1. Description</t>
  </si>
  <si>
    <t>2. Model inputs</t>
  </si>
  <si>
    <t>3. Unobservable inputs</t>
  </si>
  <si>
    <t>4. Fair Value Level</t>
  </si>
  <si>
    <t>5. Calculation formulas</t>
  </si>
  <si>
    <t>6. Example</t>
  </si>
  <si>
    <t>VPBank give a 1-month loan to BVB in VND and require no collateral</t>
  </si>
  <si>
    <t>ACT/365</t>
  </si>
  <si>
    <t>VNIBOR_VND</t>
  </si>
  <si>
    <t>Tenor</t>
  </si>
  <si>
    <t>ON</t>
  </si>
  <si>
    <t>1W</t>
  </si>
  <si>
    <t>2W</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</si>
</sst>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000_);_(* \(#,##0.000\);_(* &quot;-&quot;??_);_(@_)"/>
    <numFmt numFmtId="165" formatCode="0.0%"/>
    <numFmt numFmtId="166" formatCode="_(* #,##0_);_(* \(#,##0\);_(* &quot;-&quot;??_);_(@_)"/>
  </numFmts>
  <fonts count="22" x14ac:knownFonts="1">
    <font>
      <sz val="12"/>
      <color theme="1"/>
      <name val="Calibri"/>
      <family val="2"/>
      <scheme val="minor"/>
    </font>
    <font>
      <sz val="12"/>
      <color theme="1"/>
      <name val="Arial"/>
      <family val="2"/>
    </font>
    <font>
      <sz val="12"/>
      <color rgb="FFFF0000"/>
      <name val="Arial"/>
      <family val="2"/>
    </font>
    <font>
      <sz val="16"/>
      <color theme="1"/>
      <name val="Arial"/>
      <family val="2"/>
    </font>
    <font>
      <sz val="12"/>
      <color theme="0" tint="-0.499984740745262"/>
      <name val="Arial"/>
      <family val="2"/>
    </font>
    <font>
      <i/>
      <sz val="12"/>
      <color theme="1"/>
      <name val="Arial"/>
      <family val="2"/>
    </font>
    <font>
      <b/>
      <sz val="22"/>
      <color theme="1"/>
      <name val="Arial"/>
      <family val="2"/>
    </font>
    <font>
      <sz val="8"/>
      <name val="Calibri"/>
      <family val="2"/>
      <scheme val="minor"/>
    </font>
    <font>
      <b/>
      <sz val="12"/>
      <color theme="1"/>
      <name val="Arial"/>
      <family val="2"/>
    </font>
    <font>
      <b/>
      <i/>
      <sz val="12"/>
      <color theme="1"/>
      <name val="Arial"/>
      <family val="2"/>
    </font>
    <font>
      <u/>
      <sz val="12"/>
      <color theme="10"/>
      <name val="Calibri"/>
      <family val="2"/>
      <scheme val="minor"/>
    </font>
    <font>
      <u/>
      <sz val="12"/>
      <color theme="11"/>
      <name val="Calibri"/>
      <family val="2"/>
      <scheme val="minor"/>
    </font>
    <font>
      <sz val="12"/>
      <color theme="1"/>
      <name val="Arial"/>
      <family val="2"/>
    </font>
    <font>
      <i/>
      <sz val="12"/>
      <color theme="1"/>
      <name val="Arial"/>
      <family val="2"/>
    </font>
    <font>
      <sz val="12"/>
      <color theme="9" tint="-0.499984740745262"/>
      <name val="Arial"/>
      <family val="2"/>
    </font>
    <font>
      <sz val="12"/>
      <color theme="1"/>
      <name val="Calibri"/>
      <family val="2"/>
      <scheme val="minor"/>
    </font>
    <font>
      <sz val="10"/>
      <color indexed="8"/>
      <name val="Arial"/>
      <family val="2"/>
    </font>
    <font>
      <sz val="12"/>
      <color rgb="FFFF0000"/>
      <name val="Arial"/>
      <family val="2"/>
    </font>
    <font>
      <b/>
      <sz val="12"/>
      <color rgb="FFFF0000"/>
      <name val="Arial"/>
      <family val="2"/>
    </font>
    <font>
      <sz val="12"/>
      <name val="Arial"/>
      <family val="2"/>
    </font>
    <font>
      <sz val="12"/>
      <color indexed="8"/>
      <name val="Arial"/>
      <family val="2"/>
    </font>
    <font>
      <b/>
      <sz val="16"/>
      <color theme="1"/>
      <name val="Arial"/>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s>
  <borders count="9">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style="thin">
        <color indexed="64"/>
      </left>
      <right/>
      <top/>
      <bottom style="thin">
        <color auto="1"/>
      </bottom>
      <diagonal/>
    </border>
    <border>
      <left style="thin">
        <color indexed="64"/>
      </left>
      <right/>
      <top style="thin">
        <color auto="1"/>
      </top>
      <bottom/>
      <diagonal/>
    </border>
  </borders>
  <cellStyleXfs count="7">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0" fontId="16" fillId="0" borderId="0"/>
    <xf numFmtId="0" fontId="10" fillId="0" borderId="0" applyNumberFormat="0" applyFill="0" applyBorder="0" applyAlignment="0" applyProtection="0"/>
  </cellStyleXfs>
  <cellXfs count="87">
    <xf numFmtId="0" fontId="0" fillId="0" borderId="0" xfId="0"/>
    <xf numFmtId="0" fontId="1" fillId="2" borderId="0" xfId="0" applyFont="1" applyFill="1"/>
    <xf numFmtId="0" fontId="2" fillId="2" borderId="0" xfId="0" applyFont="1" applyFill="1"/>
    <xf numFmtId="0" fontId="1" fillId="2" borderId="0" xfId="0" applyFont="1" applyFill="1" applyAlignment="1">
      <alignment horizontal="center"/>
    </xf>
    <xf numFmtId="0" fontId="4" fillId="2" borderId="0" xfId="0" applyFont="1" applyFill="1"/>
    <xf numFmtId="0" fontId="8" fillId="2" borderId="0" xfId="0" applyFont="1" applyFill="1"/>
    <xf numFmtId="0" fontId="9" fillId="2" borderId="0" xfId="0" applyFont="1" applyFill="1"/>
    <xf numFmtId="0" fontId="1" fillId="2" borderId="1" xfId="0" applyFont="1" applyFill="1" applyBorder="1"/>
    <xf numFmtId="0" fontId="1" fillId="2" borderId="3" xfId="0" applyFont="1" applyFill="1" applyBorder="1"/>
    <xf numFmtId="0" fontId="1" fillId="2" borderId="0" xfId="0" applyFont="1" applyFill="1" applyBorder="1"/>
    <xf numFmtId="0" fontId="1" fillId="2" borderId="2" xfId="0" applyFont="1" applyFill="1" applyBorder="1"/>
    <xf numFmtId="0" fontId="5" fillId="2" borderId="0" xfId="0" applyFont="1" applyFill="1" applyAlignment="1">
      <alignment horizontal="right"/>
    </xf>
    <xf numFmtId="0" fontId="12" fillId="2" borderId="0" xfId="0" applyFont="1" applyFill="1"/>
    <xf numFmtId="0" fontId="13" fillId="2" borderId="0" xfId="0" applyFont="1" applyFill="1"/>
    <xf numFmtId="0" fontId="0" fillId="3" borderId="0" xfId="0" applyFill="1"/>
    <xf numFmtId="10" fontId="0" fillId="3" borderId="0" xfId="0" applyNumberFormat="1" applyFill="1"/>
    <xf numFmtId="164" fontId="0" fillId="3" borderId="0" xfId="3" applyNumberFormat="1" applyFont="1" applyFill="1"/>
    <xf numFmtId="10" fontId="0" fillId="3" borderId="0" xfId="4" applyNumberFormat="1" applyFont="1" applyFill="1"/>
    <xf numFmtId="10" fontId="0" fillId="4" borderId="0" xfId="0" applyNumberFormat="1" applyFill="1"/>
    <xf numFmtId="164" fontId="0" fillId="4" borderId="0" xfId="3" applyNumberFormat="1" applyFont="1" applyFill="1"/>
    <xf numFmtId="10" fontId="0" fillId="4" borderId="0" xfId="4" applyNumberFormat="1" applyFont="1" applyFill="1"/>
    <xf numFmtId="0" fontId="1" fillId="4" borderId="0" xfId="0" applyFont="1" applyFill="1"/>
    <xf numFmtId="9" fontId="1" fillId="2" borderId="0" xfId="0" applyNumberFormat="1" applyFont="1" applyFill="1"/>
    <xf numFmtId="165" fontId="0" fillId="3" borderId="0" xfId="0" applyNumberFormat="1" applyFill="1"/>
    <xf numFmtId="165" fontId="0" fillId="4" borderId="0" xfId="0" applyNumberFormat="1" applyFill="1"/>
    <xf numFmtId="0" fontId="12" fillId="2" borderId="7" xfId="0" applyFont="1" applyFill="1" applyBorder="1"/>
    <xf numFmtId="0" fontId="12" fillId="2" borderId="6" xfId="0" applyFont="1" applyFill="1" applyBorder="1"/>
    <xf numFmtId="0" fontId="12" fillId="2" borderId="0" xfId="0" quotePrefix="1" applyFont="1" applyFill="1"/>
    <xf numFmtId="0" fontId="0" fillId="0" borderId="6" xfId="0" applyBorder="1"/>
    <xf numFmtId="0" fontId="0" fillId="3" borderId="6" xfId="0" applyFill="1" applyBorder="1"/>
    <xf numFmtId="10" fontId="0" fillId="3" borderId="6" xfId="0" applyNumberFormat="1" applyFill="1" applyBorder="1"/>
    <xf numFmtId="164" fontId="0" fillId="3" borderId="6" xfId="3" applyNumberFormat="1" applyFont="1" applyFill="1" applyBorder="1"/>
    <xf numFmtId="10" fontId="0" fillId="3" borderId="6" xfId="4" applyNumberFormat="1" applyFont="1" applyFill="1" applyBorder="1"/>
    <xf numFmtId="9" fontId="0" fillId="3" borderId="6" xfId="0" applyNumberFormat="1" applyFill="1" applyBorder="1"/>
    <xf numFmtId="0" fontId="1" fillId="2" borderId="6" xfId="0" applyFont="1" applyFill="1" applyBorder="1"/>
    <xf numFmtId="165" fontId="0" fillId="3" borderId="6" xfId="0" applyNumberFormat="1" applyFill="1" applyBorder="1"/>
    <xf numFmtId="9" fontId="1" fillId="2" borderId="6" xfId="0" applyNumberFormat="1" applyFont="1" applyFill="1" applyBorder="1"/>
    <xf numFmtId="0" fontId="1" fillId="4" borderId="6" xfId="0" applyFont="1" applyFill="1" applyBorder="1"/>
    <xf numFmtId="10" fontId="0" fillId="4" borderId="6" xfId="0" applyNumberFormat="1" applyFill="1" applyBorder="1"/>
    <xf numFmtId="164" fontId="0" fillId="4" borderId="6" xfId="3" applyNumberFormat="1" applyFont="1" applyFill="1" applyBorder="1"/>
    <xf numFmtId="10" fontId="0" fillId="4" borderId="6" xfId="4" applyNumberFormat="1" applyFont="1" applyFill="1" applyBorder="1"/>
    <xf numFmtId="9" fontId="0" fillId="4" borderId="6" xfId="0" applyNumberFormat="1" applyFill="1" applyBorder="1"/>
    <xf numFmtId="165" fontId="0" fillId="4" borderId="6" xfId="0" applyNumberFormat="1" applyFill="1" applyBorder="1"/>
    <xf numFmtId="0" fontId="12" fillId="2" borderId="1" xfId="0" quotePrefix="1" applyFont="1" applyFill="1" applyBorder="1"/>
    <xf numFmtId="0" fontId="12" fillId="2" borderId="1" xfId="0" applyFont="1" applyFill="1" applyBorder="1"/>
    <xf numFmtId="15" fontId="12" fillId="2" borderId="0" xfId="0" applyNumberFormat="1" applyFont="1" applyFill="1"/>
    <xf numFmtId="15" fontId="12" fillId="2" borderId="0" xfId="0" applyNumberFormat="1" applyFont="1" applyFill="1" applyAlignment="1">
      <alignment horizontal="right"/>
    </xf>
    <xf numFmtId="0" fontId="12" fillId="2" borderId="0" xfId="0" applyFont="1" applyFill="1" applyAlignment="1">
      <alignment horizontal="right"/>
    </xf>
    <xf numFmtId="165" fontId="12" fillId="2" borderId="0" xfId="0" applyNumberFormat="1" applyFont="1" applyFill="1" applyAlignment="1">
      <alignment horizontal="right"/>
    </xf>
    <xf numFmtId="166" fontId="12" fillId="2" borderId="0" xfId="3" applyNumberFormat="1" applyFont="1" applyFill="1"/>
    <xf numFmtId="10" fontId="12" fillId="2" borderId="0" xfId="4" applyNumberFormat="1" applyFont="1" applyFill="1"/>
    <xf numFmtId="166" fontId="1" fillId="2" borderId="0" xfId="0" applyNumberFormat="1" applyFont="1" applyFill="1"/>
    <xf numFmtId="166" fontId="12" fillId="2" borderId="0" xfId="3" applyNumberFormat="1" applyFont="1" applyFill="1" applyAlignment="1">
      <alignment horizontal="right"/>
    </xf>
    <xf numFmtId="10" fontId="12" fillId="2" borderId="0" xfId="0" applyNumberFormat="1" applyFont="1" applyFill="1"/>
    <xf numFmtId="166" fontId="1" fillId="2" borderId="0" xfId="3" applyNumberFormat="1" applyFont="1" applyFill="1"/>
    <xf numFmtId="166" fontId="17" fillId="2" borderId="0" xfId="0" applyNumberFormat="1" applyFont="1" applyFill="1"/>
    <xf numFmtId="0" fontId="10" fillId="2" borderId="0" xfId="6" quotePrefix="1" applyFill="1"/>
    <xf numFmtId="0" fontId="5" fillId="2" borderId="0" xfId="0" applyFont="1" applyFill="1"/>
    <xf numFmtId="0" fontId="1" fillId="2" borderId="0" xfId="0" applyFont="1" applyFill="1" applyAlignment="1">
      <alignment horizontal="left" indent="2"/>
    </xf>
    <xf numFmtId="0" fontId="1" fillId="2" borderId="8" xfId="0" applyFont="1" applyFill="1" applyBorder="1"/>
    <xf numFmtId="0" fontId="1" fillId="2" borderId="5" xfId="0" applyFont="1" applyFill="1" applyBorder="1"/>
    <xf numFmtId="0" fontId="19" fillId="2" borderId="6" xfId="0" applyFont="1" applyFill="1" applyBorder="1"/>
    <xf numFmtId="10" fontId="1" fillId="2" borderId="0" xfId="4" applyNumberFormat="1" applyFont="1" applyFill="1"/>
    <xf numFmtId="3" fontId="20" fillId="0" borderId="0" xfId="5" applyNumberFormat="1" applyFont="1" applyFill="1" applyBorder="1" applyAlignment="1">
      <alignment horizontal="right" wrapText="1"/>
    </xf>
    <xf numFmtId="0" fontId="1" fillId="2" borderId="0" xfId="0" applyFont="1" applyFill="1" applyAlignment="1">
      <alignment horizontal="center"/>
    </xf>
    <xf numFmtId="0" fontId="6" fillId="2" borderId="0" xfId="0" applyFont="1" applyFill="1" applyAlignment="1">
      <alignment horizontal="center" vertical="center"/>
    </xf>
    <xf numFmtId="0" fontId="1"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1" fillId="2" borderId="0" xfId="0" applyFont="1" applyFill="1" applyAlignment="1">
      <alignment horizontal="left" vertical="top" wrapText="1"/>
    </xf>
    <xf numFmtId="0" fontId="12" fillId="2" borderId="0" xfId="0" applyFont="1" applyFill="1" applyAlignment="1">
      <alignment horizontal="left" vertical="top" wrapText="1"/>
    </xf>
    <xf numFmtId="0" fontId="3" fillId="2" borderId="0" xfId="0" applyFont="1" applyFill="1" applyAlignment="1">
      <alignment horizontal="center"/>
    </xf>
    <xf numFmtId="0" fontId="1" fillId="0" borderId="0" xfId="0" applyFont="1" applyFill="1" applyBorder="1" applyAlignment="1">
      <alignment horizontal="left" wrapText="1"/>
    </xf>
    <xf numFmtId="0" fontId="21" fillId="2" borderId="0" xfId="0" applyFont="1" applyFill="1" applyAlignment="1">
      <alignment horizontal="center"/>
    </xf>
    <xf numFmtId="0" fontId="1" fillId="2" borderId="4" xfId="0" applyFont="1" applyFill="1" applyBorder="1" applyAlignment="1">
      <alignment horizontal="left" wrapText="1"/>
    </xf>
    <xf numFmtId="0" fontId="12" fillId="2" borderId="4" xfId="0" applyFont="1" applyFill="1" applyBorder="1" applyAlignment="1">
      <alignment horizontal="left" wrapText="1"/>
    </xf>
    <xf numFmtId="0" fontId="1" fillId="2" borderId="0" xfId="0" applyFont="1" applyFill="1" applyBorder="1" applyAlignment="1">
      <alignment horizontal="left" wrapText="1"/>
    </xf>
    <xf numFmtId="0" fontId="12" fillId="2" borderId="0" xfId="0" applyFont="1" applyFill="1" applyBorder="1" applyAlignment="1">
      <alignment horizontal="left" wrapText="1"/>
    </xf>
    <xf numFmtId="0" fontId="12" fillId="0" borderId="0" xfId="0" applyFont="1" applyFill="1" applyBorder="1" applyAlignment="1">
      <alignment horizontal="left" wrapText="1"/>
    </xf>
    <xf numFmtId="0" fontId="18" fillId="0" borderId="0" xfId="0" applyFont="1" applyFill="1" applyBorder="1" applyAlignment="1">
      <alignment horizontal="left" wrapText="1"/>
    </xf>
    <xf numFmtId="0" fontId="12" fillId="2" borderId="0" xfId="0" applyFont="1" applyFill="1" applyAlignment="1">
      <alignment horizontal="left" wrapText="1"/>
    </xf>
    <xf numFmtId="0" fontId="1" fillId="2" borderId="0" xfId="0" applyFont="1" applyFill="1" applyAlignment="1">
      <alignment horizontal="left"/>
    </xf>
    <xf numFmtId="0" fontId="1" fillId="2" borderId="0" xfId="0" applyFont="1" applyFill="1" applyAlignment="1">
      <alignment horizontal="left"/>
    </xf>
    <xf numFmtId="0" fontId="1" fillId="2" borderId="0" xfId="0" applyFont="1" applyFill="1" applyAlignment="1">
      <alignment horizontal="right"/>
    </xf>
    <xf numFmtId="0" fontId="1" fillId="2" borderId="1" xfId="0" applyFont="1" applyFill="1" applyBorder="1" applyAlignment="1"/>
    <xf numFmtId="15" fontId="1" fillId="2" borderId="0" xfId="0" applyNumberFormat="1" applyFont="1" applyFill="1" applyAlignment="1">
      <alignment horizontal="center"/>
    </xf>
    <xf numFmtId="10" fontId="1" fillId="2" borderId="0" xfId="0" applyNumberFormat="1" applyFont="1" applyFill="1"/>
  </cellXfs>
  <cellStyles count="7">
    <cellStyle name="Comma" xfId="3" builtinId="3"/>
    <cellStyle name="Followed Hyperlink" xfId="2" builtinId="9" hidden="1"/>
    <cellStyle name="Hyperlink" xfId="1" builtinId="8" hidden="1"/>
    <cellStyle name="Hyperlink" xfId="6" builtinId="8"/>
    <cellStyle name="Normal" xfId="0" builtinId="0"/>
    <cellStyle name="Normal_Example" xfId="5"/>
    <cellStyle name="Percent" xfId="4" builtinId="5"/>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215900</xdr:colOff>
      <xdr:row>1</xdr:row>
      <xdr:rowOff>25401</xdr:rowOff>
    </xdr:from>
    <xdr:to>
      <xdr:col>4</xdr:col>
      <xdr:colOff>127000</xdr:colOff>
      <xdr:row>6</xdr:row>
      <xdr:rowOff>18883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215900" y="228601"/>
          <a:ext cx="2641600" cy="1009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2</xdr:col>
      <xdr:colOff>3423087</xdr:colOff>
      <xdr:row>7</xdr:row>
      <xdr:rowOff>97197</xdr:rowOff>
    </xdr:to>
    <xdr:pic>
      <xdr:nvPicPr>
        <xdr:cNvPr id="4" name="Picture 3">
          <a:extLst>
            <a:ext uri="{FF2B5EF4-FFF2-40B4-BE49-F238E27FC236}">
              <a16:creationId xmlns="" xmlns:a16="http://schemas.microsoft.com/office/drawing/2014/main" id="{DB863815-1005-4B11-A448-9615B7FB45EF}"/>
            </a:ext>
          </a:extLst>
        </xdr:cNvPr>
        <xdr:cNvPicPr>
          <a:picLocks noChangeAspect="1"/>
        </xdr:cNvPicPr>
      </xdr:nvPicPr>
      <xdr:blipFill>
        <a:blip xmlns:r="http://schemas.openxmlformats.org/officeDocument/2006/relationships" r:embed="rId1"/>
        <a:stretch>
          <a:fillRect/>
        </a:stretch>
      </xdr:blipFill>
      <xdr:spPr>
        <a:xfrm>
          <a:off x="276225" y="1209675"/>
          <a:ext cx="4304149" cy="487722"/>
        </a:xfrm>
        <a:prstGeom prst="rect">
          <a:avLst/>
        </a:prstGeom>
      </xdr:spPr>
    </xdr:pic>
    <xdr:clientData/>
  </xdr:twoCellAnchor>
  <xdr:twoCellAnchor>
    <xdr:from>
      <xdr:col>1</xdr:col>
      <xdr:colOff>0</xdr:colOff>
      <xdr:row>8</xdr:row>
      <xdr:rowOff>0</xdr:rowOff>
    </xdr:from>
    <xdr:to>
      <xdr:col>2</xdr:col>
      <xdr:colOff>1143000</xdr:colOff>
      <xdr:row>9</xdr:row>
      <xdr:rowOff>142875</xdr:rowOff>
    </xdr:to>
    <xdr:pic>
      <xdr:nvPicPr>
        <xdr:cNvPr id="5" name="Picture 4"/>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225" y="1371600"/>
          <a:ext cx="20193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I31"/>
  <sheetViews>
    <sheetView topLeftCell="A7" zoomScale="90" zoomScaleNormal="90" workbookViewId="0">
      <selection activeCell="K26" sqref="K26"/>
    </sheetView>
  </sheetViews>
  <sheetFormatPr defaultColWidth="10.875" defaultRowHeight="15" x14ac:dyDescent="0.2"/>
  <cols>
    <col min="1" max="1" width="3.375" style="1" customWidth="1"/>
    <col min="2" max="7" width="10.875" style="1"/>
    <col min="8" max="8" width="11.5" style="1" customWidth="1"/>
    <col min="9" max="9" width="10.5" style="1" customWidth="1"/>
    <col min="10" max="16384" width="10.875" style="1"/>
  </cols>
  <sheetData>
    <row r="5" spans="2:9" x14ac:dyDescent="0.2">
      <c r="G5" s="2" t="s">
        <v>0</v>
      </c>
    </row>
    <row r="10" spans="2:9" ht="27.75" x14ac:dyDescent="0.2">
      <c r="B10" s="65" t="s">
        <v>25</v>
      </c>
      <c r="C10" s="65"/>
      <c r="D10" s="65"/>
      <c r="E10" s="65"/>
      <c r="F10" s="65"/>
      <c r="G10" s="65"/>
      <c r="H10" s="65"/>
    </row>
    <row r="11" spans="2:9" x14ac:dyDescent="0.2">
      <c r="B11" s="68" t="s">
        <v>26</v>
      </c>
      <c r="C11" s="68"/>
      <c r="D11" s="68"/>
      <c r="E11" s="68"/>
      <c r="F11" s="68"/>
      <c r="G11" s="68"/>
      <c r="H11" s="68"/>
    </row>
    <row r="14" spans="2:9" x14ac:dyDescent="0.2">
      <c r="B14" s="1" t="s">
        <v>1</v>
      </c>
      <c r="E14" s="1" t="s">
        <v>2</v>
      </c>
      <c r="F14" s="81" t="s">
        <v>49</v>
      </c>
      <c r="G14" s="81"/>
      <c r="H14" s="81"/>
      <c r="I14" s="81"/>
    </row>
    <row r="15" spans="2:9" x14ac:dyDescent="0.2">
      <c r="E15" s="1" t="s">
        <v>2</v>
      </c>
      <c r="F15" s="81" t="s">
        <v>50</v>
      </c>
      <c r="G15" s="81"/>
      <c r="H15" s="81"/>
      <c r="I15" s="81"/>
    </row>
    <row r="16" spans="2:9" x14ac:dyDescent="0.2">
      <c r="E16" s="1" t="s">
        <v>2</v>
      </c>
      <c r="F16" s="81" t="s">
        <v>87</v>
      </c>
      <c r="G16" s="81"/>
      <c r="H16" s="81"/>
      <c r="I16" s="81"/>
    </row>
    <row r="17" spans="2:9" x14ac:dyDescent="0.2">
      <c r="E17" s="1" t="s">
        <v>2</v>
      </c>
      <c r="F17" s="81" t="s">
        <v>86</v>
      </c>
      <c r="G17" s="81"/>
      <c r="H17" s="81"/>
      <c r="I17" s="81"/>
    </row>
    <row r="18" spans="2:9" x14ac:dyDescent="0.2">
      <c r="E18" s="1" t="s">
        <v>2</v>
      </c>
      <c r="F18" s="81" t="s">
        <v>89</v>
      </c>
      <c r="G18" s="81"/>
      <c r="H18" s="81"/>
      <c r="I18" s="81"/>
    </row>
    <row r="19" spans="2:9" x14ac:dyDescent="0.2">
      <c r="E19" s="1" t="s">
        <v>2</v>
      </c>
      <c r="F19" s="81" t="s">
        <v>90</v>
      </c>
      <c r="G19" s="81"/>
      <c r="H19" s="81"/>
      <c r="I19" s="81"/>
    </row>
    <row r="20" spans="2:9" x14ac:dyDescent="0.2">
      <c r="E20" s="4"/>
      <c r="F20" s="67"/>
      <c r="G20" s="67"/>
      <c r="H20" s="67"/>
      <c r="I20" s="67"/>
    </row>
    <row r="22" spans="2:9" x14ac:dyDescent="0.2">
      <c r="B22" s="1" t="s">
        <v>3</v>
      </c>
      <c r="G22" s="82" t="s">
        <v>27</v>
      </c>
      <c r="H22" s="3"/>
      <c r="I22" s="3"/>
    </row>
    <row r="23" spans="2:9" x14ac:dyDescent="0.2">
      <c r="B23" s="1" t="s">
        <v>4</v>
      </c>
      <c r="G23" s="82" t="s">
        <v>118</v>
      </c>
      <c r="H23" s="3"/>
      <c r="I23" s="3"/>
    </row>
    <row r="24" spans="2:9" x14ac:dyDescent="0.2">
      <c r="B24" s="1" t="s">
        <v>5</v>
      </c>
      <c r="G24" s="82" t="s">
        <v>6</v>
      </c>
      <c r="H24" s="3"/>
      <c r="I24" s="3"/>
    </row>
    <row r="25" spans="2:9" x14ac:dyDescent="0.2">
      <c r="B25" s="1" t="s">
        <v>7</v>
      </c>
      <c r="G25" s="82" t="s">
        <v>93</v>
      </c>
      <c r="H25" s="3"/>
      <c r="I25" s="3"/>
    </row>
    <row r="28" spans="2:9" ht="15.75" x14ac:dyDescent="0.25">
      <c r="B28" s="5" t="s">
        <v>85</v>
      </c>
    </row>
    <row r="29" spans="2:9" ht="15.75" x14ac:dyDescent="0.25">
      <c r="B29" s="56" t="s">
        <v>134</v>
      </c>
      <c r="E29" s="56" t="s">
        <v>137</v>
      </c>
    </row>
    <row r="30" spans="2:9" ht="15.75" x14ac:dyDescent="0.25">
      <c r="B30" s="56" t="s">
        <v>135</v>
      </c>
      <c r="E30" s="56" t="s">
        <v>138</v>
      </c>
    </row>
    <row r="31" spans="2:9" ht="15.75" x14ac:dyDescent="0.25">
      <c r="B31" s="56" t="s">
        <v>136</v>
      </c>
      <c r="E31" s="56" t="s">
        <v>139</v>
      </c>
    </row>
  </sheetData>
  <mergeCells count="9">
    <mergeCell ref="B10:H10"/>
    <mergeCell ref="F14:I14"/>
    <mergeCell ref="F20:I20"/>
    <mergeCell ref="B11:H11"/>
    <mergeCell ref="F15:I15"/>
    <mergeCell ref="F16:I16"/>
    <mergeCell ref="F17:I17"/>
    <mergeCell ref="F18:I18"/>
    <mergeCell ref="F19:I19"/>
  </mergeCells>
  <phoneticPr fontId="7" type="noConversion"/>
  <hyperlinks>
    <hyperlink ref="B29" location="'1. Description'!A1" display="1. Description"/>
    <hyperlink ref="B30" location="'2. Model inputs'!A1" display="2. Model inputs"/>
    <hyperlink ref="B31" location="'3. Unobservable inputs'!A1" display="3. Unobservable inputs"/>
    <hyperlink ref="E29" location="'4. Fair Value Level'!A1" display="4. Fair Value Level"/>
    <hyperlink ref="E30" location="'5. Calculation formulas'!A1" display="5. Calculation formulas"/>
    <hyperlink ref="E31" location="'6. Example'!A1" display="6. Example"/>
  </hyperlinks>
  <pageMargins left="0.7" right="0.7" top="0.75" bottom="0.75" header="0.3" footer="0.3"/>
  <pageSetup paperSize="9" scale="9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J11"/>
  <sheetViews>
    <sheetView topLeftCell="A7" zoomScale="90" zoomScaleNormal="90" workbookViewId="0">
      <selection activeCell="P8" sqref="P8"/>
    </sheetView>
  </sheetViews>
  <sheetFormatPr defaultColWidth="10.875" defaultRowHeight="15" x14ac:dyDescent="0.2"/>
  <cols>
    <col min="1" max="1" width="2.875" style="1" customWidth="1"/>
    <col min="2" max="8" width="10.875" style="1"/>
    <col min="9" max="9" width="3.625" style="1" customWidth="1"/>
    <col min="10" max="16384" width="10.875" style="1"/>
  </cols>
  <sheetData>
    <row r="3" spans="2:10" ht="20.25" x14ac:dyDescent="0.3">
      <c r="B3" s="71" t="str">
        <f>Main!B10</f>
        <v>Valuation model for MM instruments</v>
      </c>
      <c r="C3" s="71"/>
      <c r="D3" s="71"/>
      <c r="E3" s="71"/>
      <c r="F3" s="71"/>
      <c r="G3" s="71"/>
      <c r="H3" s="71"/>
      <c r="I3" s="71"/>
      <c r="J3" s="71"/>
    </row>
    <row r="5" spans="2:10" x14ac:dyDescent="0.2">
      <c r="B5" s="6" t="s">
        <v>23</v>
      </c>
    </row>
    <row r="7" spans="2:10" ht="170.25" customHeight="1" x14ac:dyDescent="0.2">
      <c r="B7" s="69" t="s">
        <v>119</v>
      </c>
      <c r="C7" s="70"/>
      <c r="D7" s="70"/>
      <c r="E7" s="70"/>
      <c r="F7" s="70"/>
      <c r="G7" s="70"/>
      <c r="H7" s="70"/>
      <c r="I7" s="70"/>
      <c r="J7" s="70"/>
    </row>
    <row r="9" spans="2:10" x14ac:dyDescent="0.2">
      <c r="B9" s="6" t="s">
        <v>24</v>
      </c>
    </row>
    <row r="11" spans="2:10" ht="90.75" customHeight="1" x14ac:dyDescent="0.2">
      <c r="B11" s="69" t="s">
        <v>88</v>
      </c>
      <c r="C11" s="70"/>
      <c r="D11" s="70"/>
      <c r="E11" s="70"/>
      <c r="F11" s="70"/>
      <c r="G11" s="70"/>
      <c r="H11" s="70"/>
      <c r="I11" s="70"/>
      <c r="J11" s="70"/>
    </row>
  </sheetData>
  <mergeCells count="3">
    <mergeCell ref="B7:J7"/>
    <mergeCell ref="B11:J11"/>
    <mergeCell ref="B3:J3"/>
  </mergeCells>
  <pageMargins left="0.7" right="0.7" top="0.75" bottom="0.75" header="0.3" footer="0.3"/>
  <pageSetup paperSize="9" scale="88" fitToHeight="0"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H36"/>
  <sheetViews>
    <sheetView topLeftCell="A19" zoomScale="80" zoomScaleNormal="80" workbookViewId="0">
      <selection activeCell="E46" sqref="E46"/>
    </sheetView>
  </sheetViews>
  <sheetFormatPr defaultColWidth="10.875" defaultRowHeight="15" x14ac:dyDescent="0.2"/>
  <cols>
    <col min="1" max="1" width="3" style="1" customWidth="1"/>
    <col min="2" max="3" width="14.75" style="1" customWidth="1"/>
    <col min="4" max="4" width="10.875" style="1"/>
    <col min="5" max="5" width="21.625" style="1" customWidth="1"/>
    <col min="6" max="7" width="10.875" style="1"/>
    <col min="8" max="8" width="21.875" style="1" customWidth="1"/>
    <col min="9" max="9" width="6.375" style="1" customWidth="1"/>
    <col min="10" max="16384" width="10.875" style="1"/>
  </cols>
  <sheetData>
    <row r="3" spans="2:8" ht="20.25" x14ac:dyDescent="0.3">
      <c r="B3" s="73" t="str">
        <f>Main!B10</f>
        <v>Valuation model for MM instruments</v>
      </c>
      <c r="C3" s="73"/>
      <c r="D3" s="73"/>
      <c r="E3" s="73"/>
      <c r="F3" s="73"/>
      <c r="G3" s="73"/>
      <c r="H3" s="73"/>
    </row>
    <row r="6" spans="2:8" x14ac:dyDescent="0.2">
      <c r="B6" s="6" t="s">
        <v>10</v>
      </c>
      <c r="H6" s="11" t="s">
        <v>13</v>
      </c>
    </row>
    <row r="8" spans="2:8" x14ac:dyDescent="0.2">
      <c r="B8" s="7" t="s">
        <v>8</v>
      </c>
      <c r="C8" s="8"/>
      <c r="D8" s="7" t="s">
        <v>9</v>
      </c>
      <c r="E8" s="7"/>
      <c r="F8" s="25" t="s">
        <v>48</v>
      </c>
      <c r="G8" s="7"/>
      <c r="H8" s="7"/>
    </row>
    <row r="9" spans="2:8" ht="23.25" customHeight="1" x14ac:dyDescent="0.2">
      <c r="B9" s="74" t="s">
        <v>94</v>
      </c>
      <c r="C9" s="75"/>
      <c r="D9" s="59" t="s">
        <v>95</v>
      </c>
      <c r="E9" s="60"/>
      <c r="F9" s="34" t="s">
        <v>99</v>
      </c>
    </row>
    <row r="10" spans="2:8" ht="36" customHeight="1" x14ac:dyDescent="0.2">
      <c r="B10" s="76" t="s">
        <v>96</v>
      </c>
      <c r="C10" s="77"/>
      <c r="D10" s="34" t="s">
        <v>95</v>
      </c>
      <c r="E10" s="10"/>
      <c r="F10" s="34" t="s">
        <v>120</v>
      </c>
    </row>
    <row r="11" spans="2:8" ht="36" customHeight="1" x14ac:dyDescent="0.2">
      <c r="B11" s="72" t="s">
        <v>97</v>
      </c>
      <c r="C11" s="78"/>
      <c r="D11" s="34" t="s">
        <v>98</v>
      </c>
      <c r="E11" s="10"/>
      <c r="F11" s="34" t="s">
        <v>100</v>
      </c>
    </row>
    <row r="12" spans="2:8" ht="36" customHeight="1" x14ac:dyDescent="0.2">
      <c r="B12" s="72" t="s">
        <v>101</v>
      </c>
      <c r="C12" s="78"/>
      <c r="D12" s="34" t="s">
        <v>98</v>
      </c>
      <c r="E12" s="10"/>
      <c r="F12" s="34" t="s">
        <v>105</v>
      </c>
    </row>
    <row r="13" spans="2:8" ht="36" customHeight="1" x14ac:dyDescent="0.2">
      <c r="B13" s="72" t="s">
        <v>121</v>
      </c>
      <c r="C13" s="78"/>
      <c r="D13" s="34" t="s">
        <v>98</v>
      </c>
      <c r="E13" s="10"/>
      <c r="F13" s="34" t="s">
        <v>106</v>
      </c>
    </row>
    <row r="14" spans="2:8" ht="36" customHeight="1" x14ac:dyDescent="0.2">
      <c r="B14" s="72" t="s">
        <v>122</v>
      </c>
      <c r="C14" s="78"/>
      <c r="D14" s="34" t="s">
        <v>98</v>
      </c>
      <c r="E14" s="10"/>
      <c r="F14" s="34" t="s">
        <v>107</v>
      </c>
    </row>
    <row r="15" spans="2:8" ht="36" customHeight="1" x14ac:dyDescent="0.2">
      <c r="B15" s="72" t="s">
        <v>102</v>
      </c>
      <c r="C15" s="78"/>
      <c r="D15" s="34" t="s">
        <v>98</v>
      </c>
      <c r="E15" s="10"/>
      <c r="F15" s="34" t="s">
        <v>108</v>
      </c>
    </row>
    <row r="16" spans="2:8" ht="36" customHeight="1" x14ac:dyDescent="0.2">
      <c r="B16" s="72" t="s">
        <v>123</v>
      </c>
      <c r="C16" s="78"/>
      <c r="D16" s="34" t="s">
        <v>98</v>
      </c>
      <c r="E16" s="10"/>
      <c r="F16" s="34" t="s">
        <v>109</v>
      </c>
    </row>
    <row r="17" spans="2:8" ht="36" customHeight="1" x14ac:dyDescent="0.2">
      <c r="B17" s="72" t="s">
        <v>103</v>
      </c>
      <c r="C17" s="78"/>
      <c r="D17" s="34" t="s">
        <v>98</v>
      </c>
      <c r="E17" s="10"/>
      <c r="F17" s="34" t="s">
        <v>110</v>
      </c>
    </row>
    <row r="18" spans="2:8" ht="36" customHeight="1" x14ac:dyDescent="0.2">
      <c r="B18" s="72" t="s">
        <v>104</v>
      </c>
      <c r="C18" s="78"/>
      <c r="D18" s="34" t="s">
        <v>98</v>
      </c>
      <c r="E18" s="10"/>
      <c r="F18" s="34" t="s">
        <v>111</v>
      </c>
    </row>
    <row r="19" spans="2:8" ht="36" customHeight="1" x14ac:dyDescent="0.2">
      <c r="B19" s="72" t="s">
        <v>124</v>
      </c>
      <c r="C19" s="78"/>
      <c r="D19" s="34" t="s">
        <v>98</v>
      </c>
      <c r="E19" s="10"/>
      <c r="F19" s="34" t="s">
        <v>112</v>
      </c>
    </row>
    <row r="20" spans="2:8" ht="36" customHeight="1" x14ac:dyDescent="0.2">
      <c r="B20" s="72" t="s">
        <v>125</v>
      </c>
      <c r="C20" s="78"/>
      <c r="D20" s="34" t="s">
        <v>98</v>
      </c>
      <c r="E20" s="10"/>
      <c r="F20" s="34" t="s">
        <v>113</v>
      </c>
    </row>
    <row r="21" spans="2:8" ht="36" customHeight="1" x14ac:dyDescent="0.2">
      <c r="B21" s="72" t="s">
        <v>126</v>
      </c>
      <c r="C21" s="78"/>
      <c r="D21" s="34" t="s">
        <v>98</v>
      </c>
      <c r="E21" s="10"/>
      <c r="F21" s="34" t="s">
        <v>114</v>
      </c>
    </row>
    <row r="22" spans="2:8" ht="101.25" customHeight="1" x14ac:dyDescent="0.25">
      <c r="B22" s="79" t="s">
        <v>128</v>
      </c>
      <c r="C22" s="79"/>
      <c r="D22" s="79"/>
      <c r="E22" s="79"/>
      <c r="F22" s="79"/>
      <c r="G22" s="79"/>
      <c r="H22" s="79"/>
    </row>
    <row r="23" spans="2:8" ht="37.5" customHeight="1" x14ac:dyDescent="0.2">
      <c r="B23" s="72" t="s">
        <v>127</v>
      </c>
      <c r="C23" s="72"/>
      <c r="D23" s="72"/>
      <c r="E23" s="72"/>
      <c r="F23" s="72"/>
      <c r="G23" s="72"/>
      <c r="H23" s="72"/>
    </row>
    <row r="25" spans="2:8" x14ac:dyDescent="0.2">
      <c r="B25" s="6" t="s">
        <v>11</v>
      </c>
      <c r="H25" s="11" t="s">
        <v>13</v>
      </c>
    </row>
    <row r="27" spans="2:8" x14ac:dyDescent="0.2">
      <c r="B27" s="7" t="s">
        <v>8</v>
      </c>
      <c r="C27" s="8"/>
      <c r="D27" s="7" t="s">
        <v>12</v>
      </c>
      <c r="E27" s="7"/>
      <c r="F27" s="7"/>
      <c r="G27" s="7"/>
      <c r="H27" s="7"/>
    </row>
    <row r="28" spans="2:8" x14ac:dyDescent="0.2">
      <c r="B28" s="9"/>
      <c r="C28" s="10"/>
    </row>
    <row r="29" spans="2:8" x14ac:dyDescent="0.2">
      <c r="B29" s="9"/>
      <c r="C29" s="10"/>
    </row>
    <row r="30" spans="2:8" x14ac:dyDescent="0.2">
      <c r="B30" s="9"/>
      <c r="C30" s="10"/>
    </row>
    <row r="31" spans="2:8" x14ac:dyDescent="0.2">
      <c r="B31" s="9"/>
      <c r="C31" s="10"/>
    </row>
    <row r="32" spans="2:8" x14ac:dyDescent="0.2">
      <c r="B32" s="9"/>
      <c r="C32" s="10"/>
    </row>
    <row r="33" spans="2:3" x14ac:dyDescent="0.2">
      <c r="B33" s="9"/>
      <c r="C33" s="10"/>
    </row>
    <row r="36" spans="2:3" ht="15.75" x14ac:dyDescent="0.25">
      <c r="B36" s="5" t="s">
        <v>14</v>
      </c>
    </row>
  </sheetData>
  <mergeCells count="16">
    <mergeCell ref="B23:H23"/>
    <mergeCell ref="B3:H3"/>
    <mergeCell ref="B9:C9"/>
    <mergeCell ref="B10:C10"/>
    <mergeCell ref="B11:C11"/>
    <mergeCell ref="B16:C16"/>
    <mergeCell ref="B17:C17"/>
    <mergeCell ref="B14:C14"/>
    <mergeCell ref="B15:C15"/>
    <mergeCell ref="B18:C18"/>
    <mergeCell ref="B19:C19"/>
    <mergeCell ref="B20:C20"/>
    <mergeCell ref="B21:C21"/>
    <mergeCell ref="B22:H22"/>
    <mergeCell ref="B12:C12"/>
    <mergeCell ref="B13:C13"/>
  </mergeCells>
  <pageMargins left="0.7" right="0.7" top="0.75" bottom="0.75" header="0.3" footer="0.3"/>
  <pageSetup paperSize="9" scale="76" fitToHeight="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12"/>
  <sheetViews>
    <sheetView zoomScale="90" zoomScaleNormal="90" workbookViewId="0">
      <selection activeCell="B7" sqref="B7:H7"/>
    </sheetView>
  </sheetViews>
  <sheetFormatPr defaultColWidth="10.875" defaultRowHeight="15" x14ac:dyDescent="0.2"/>
  <cols>
    <col min="1" max="1" width="2.375" style="1" customWidth="1"/>
    <col min="2" max="8" width="10.875" style="1"/>
    <col min="9" max="9" width="3.875" style="1" customWidth="1"/>
    <col min="10" max="16384" width="10.875" style="1"/>
  </cols>
  <sheetData>
    <row r="3" spans="2:8" ht="20.25" x14ac:dyDescent="0.3">
      <c r="B3" s="73" t="str">
        <f>Main!B10</f>
        <v>Valuation model for MM instruments</v>
      </c>
      <c r="C3" s="73"/>
      <c r="D3" s="73"/>
      <c r="E3" s="73"/>
      <c r="F3" s="73"/>
      <c r="G3" s="73"/>
      <c r="H3" s="73"/>
    </row>
    <row r="5" spans="2:8" x14ac:dyDescent="0.2">
      <c r="B5" s="6" t="s">
        <v>15</v>
      </c>
    </row>
    <row r="7" spans="2:8" ht="159.94999999999999" customHeight="1" x14ac:dyDescent="0.2">
      <c r="B7" s="69" t="s">
        <v>91</v>
      </c>
      <c r="C7" s="69"/>
      <c r="D7" s="69"/>
      <c r="E7" s="69"/>
      <c r="F7" s="69"/>
      <c r="G7" s="69"/>
      <c r="H7" s="69"/>
    </row>
    <row r="10" spans="2:8" x14ac:dyDescent="0.2">
      <c r="B10" s="6" t="s">
        <v>16</v>
      </c>
    </row>
    <row r="12" spans="2:8" ht="31.5" customHeight="1" x14ac:dyDescent="0.2">
      <c r="B12" s="80"/>
      <c r="C12" s="80"/>
      <c r="D12" s="80"/>
      <c r="E12" s="80"/>
      <c r="F12" s="80"/>
      <c r="G12" s="80"/>
      <c r="H12" s="80"/>
    </row>
  </sheetData>
  <mergeCells count="3">
    <mergeCell ref="B3:H3"/>
    <mergeCell ref="B7:H7"/>
    <mergeCell ref="B12:H12"/>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17"/>
  <sheetViews>
    <sheetView zoomScale="90" zoomScaleNormal="90" workbookViewId="0">
      <selection activeCell="G22" sqref="G22"/>
    </sheetView>
  </sheetViews>
  <sheetFormatPr defaultColWidth="10.875" defaultRowHeight="15" x14ac:dyDescent="0.2"/>
  <cols>
    <col min="1" max="1" width="3.5" style="1" customWidth="1"/>
    <col min="2" max="8" width="10.875" style="1"/>
    <col min="9" max="9" width="2" style="1" customWidth="1"/>
    <col min="10" max="16384" width="10.875" style="1"/>
  </cols>
  <sheetData>
    <row r="3" spans="2:8" ht="20.25" x14ac:dyDescent="0.3">
      <c r="B3" s="71" t="str">
        <f>Main!B10</f>
        <v>Valuation model for MM instruments</v>
      </c>
      <c r="C3" s="71"/>
      <c r="D3" s="71"/>
      <c r="E3" s="71"/>
      <c r="F3" s="71"/>
      <c r="G3" s="71"/>
      <c r="H3" s="71"/>
    </row>
    <row r="5" spans="2:8" x14ac:dyDescent="0.2">
      <c r="B5" s="6" t="s">
        <v>17</v>
      </c>
    </row>
    <row r="7" spans="2:8" x14ac:dyDescent="0.2">
      <c r="B7" s="1" t="s">
        <v>28</v>
      </c>
    </row>
    <row r="8" spans="2:8" x14ac:dyDescent="0.2">
      <c r="B8" s="66"/>
      <c r="C8" s="66"/>
      <c r="D8" s="66"/>
      <c r="E8" s="66"/>
      <c r="F8" s="66"/>
      <c r="G8" s="66"/>
      <c r="H8" s="66"/>
    </row>
    <row r="11" spans="2:8" x14ac:dyDescent="0.2">
      <c r="B11" s="1" t="s">
        <v>18</v>
      </c>
    </row>
    <row r="13" spans="2:8" ht="15" customHeight="1" x14ac:dyDescent="0.2">
      <c r="B13" s="69" t="s">
        <v>92</v>
      </c>
      <c r="C13" s="69"/>
      <c r="D13" s="69"/>
      <c r="E13" s="69"/>
      <c r="F13" s="69"/>
      <c r="G13" s="69"/>
      <c r="H13" s="69"/>
    </row>
    <row r="14" spans="2:8" x14ac:dyDescent="0.2">
      <c r="B14" s="69"/>
      <c r="C14" s="69"/>
      <c r="D14" s="69"/>
      <c r="E14" s="69"/>
      <c r="F14" s="69"/>
      <c r="G14" s="69"/>
      <c r="H14" s="69"/>
    </row>
    <row r="15" spans="2:8" x14ac:dyDescent="0.2">
      <c r="B15" s="69"/>
      <c r="C15" s="69"/>
      <c r="D15" s="69"/>
      <c r="E15" s="69"/>
      <c r="F15" s="69"/>
      <c r="G15" s="69"/>
      <c r="H15" s="69"/>
    </row>
    <row r="16" spans="2:8" x14ac:dyDescent="0.2">
      <c r="B16" s="69"/>
      <c r="C16" s="69"/>
      <c r="D16" s="69"/>
      <c r="E16" s="69"/>
      <c r="F16" s="69"/>
      <c r="G16" s="69"/>
      <c r="H16" s="69"/>
    </row>
    <row r="17" spans="2:8" x14ac:dyDescent="0.2">
      <c r="B17" s="69"/>
      <c r="C17" s="69"/>
      <c r="D17" s="69"/>
      <c r="E17" s="69"/>
      <c r="F17" s="69"/>
      <c r="G17" s="69"/>
      <c r="H17" s="69"/>
    </row>
  </sheetData>
  <mergeCells count="3">
    <mergeCell ref="B3:H3"/>
    <mergeCell ref="B8:H8"/>
    <mergeCell ref="B13:H17"/>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123"/>
  <sheetViews>
    <sheetView topLeftCell="A13" zoomScale="80" zoomScaleNormal="80" workbookViewId="0">
      <selection activeCell="C112" sqref="C112"/>
    </sheetView>
  </sheetViews>
  <sheetFormatPr defaultColWidth="10.875" defaultRowHeight="15" x14ac:dyDescent="0.2"/>
  <cols>
    <col min="1" max="1" width="3.625" style="1" customWidth="1"/>
    <col min="2" max="2" width="11.5" style="1" customWidth="1"/>
    <col min="3" max="3" width="63.375" style="1" customWidth="1"/>
    <col min="4" max="4" width="46.125" style="1" customWidth="1"/>
    <col min="5" max="5" width="16.875" style="1" customWidth="1"/>
    <col min="6" max="6" width="12.5" style="1" customWidth="1"/>
    <col min="7" max="16384" width="10.875" style="1"/>
  </cols>
  <sheetData>
    <row r="1" spans="2:8" ht="9" customHeight="1" x14ac:dyDescent="0.2"/>
    <row r="2" spans="2:8" ht="20.25" x14ac:dyDescent="0.3">
      <c r="B2" s="73" t="str">
        <f>Main!B10</f>
        <v>Valuation model for MM instruments</v>
      </c>
      <c r="C2" s="73"/>
      <c r="D2" s="73"/>
      <c r="E2" s="73"/>
      <c r="F2" s="73"/>
      <c r="G2" s="73"/>
      <c r="H2" s="73"/>
    </row>
    <row r="3" spans="2:8" ht="11.25" customHeight="1" x14ac:dyDescent="0.2"/>
    <row r="4" spans="2:8" x14ac:dyDescent="0.2">
      <c r="B4" s="6" t="s">
        <v>19</v>
      </c>
    </row>
    <row r="5" spans="2:8" ht="6.75" customHeight="1" x14ac:dyDescent="0.2"/>
    <row r="6" spans="2:8" ht="15.75" x14ac:dyDescent="0.25">
      <c r="D6"/>
    </row>
    <row r="9" spans="2:8" ht="15.75" x14ac:dyDescent="0.25">
      <c r="B9"/>
    </row>
    <row r="10" spans="2:8" ht="28.5" customHeight="1" x14ac:dyDescent="0.2">
      <c r="B10" s="57" t="s">
        <v>29</v>
      </c>
    </row>
    <row r="11" spans="2:8" x14ac:dyDescent="0.2">
      <c r="B11" s="58" t="s">
        <v>30</v>
      </c>
    </row>
    <row r="12" spans="2:8" x14ac:dyDescent="0.2">
      <c r="B12" s="1" t="s">
        <v>133</v>
      </c>
    </row>
    <row r="13" spans="2:8" x14ac:dyDescent="0.2">
      <c r="B13" s="1" t="s">
        <v>129</v>
      </c>
    </row>
    <row r="14" spans="2:8" x14ac:dyDescent="0.2">
      <c r="B14" s="27"/>
    </row>
    <row r="15" spans="2:8" x14ac:dyDescent="0.2">
      <c r="B15" s="43" t="s">
        <v>51</v>
      </c>
      <c r="C15" s="25" t="s">
        <v>52</v>
      </c>
      <c r="D15" s="25" t="s">
        <v>53</v>
      </c>
    </row>
    <row r="16" spans="2:8" x14ac:dyDescent="0.2">
      <c r="B16" s="12" t="s">
        <v>54</v>
      </c>
      <c r="C16" s="34" t="s">
        <v>94</v>
      </c>
      <c r="D16" s="26" t="s">
        <v>60</v>
      </c>
    </row>
    <row r="17" spans="2:6" ht="15.75" hidden="1" x14ac:dyDescent="0.25">
      <c r="B17"/>
      <c r="C17" s="28" t="s">
        <v>31</v>
      </c>
      <c r="D17" s="34"/>
    </row>
    <row r="18" spans="2:6" ht="15.75" hidden="1" x14ac:dyDescent="0.25">
      <c r="B18" t="s">
        <v>32</v>
      </c>
      <c r="C18" s="29">
        <v>18273</v>
      </c>
      <c r="D18" s="37">
        <v>18195</v>
      </c>
    </row>
    <row r="19" spans="2:6" ht="15.75" hidden="1" x14ac:dyDescent="0.25">
      <c r="B19" t="s">
        <v>33</v>
      </c>
      <c r="C19" s="29">
        <v>22726</v>
      </c>
      <c r="D19" s="37">
        <v>22726</v>
      </c>
    </row>
    <row r="20" spans="2:6" ht="15.75" hidden="1" x14ac:dyDescent="0.25">
      <c r="B20" t="s">
        <v>34</v>
      </c>
      <c r="C20" s="30">
        <v>1.3100000000000001E-2</v>
      </c>
      <c r="D20" s="38">
        <v>1.3100000000000001E-2</v>
      </c>
    </row>
    <row r="21" spans="2:6" ht="15.75" hidden="1" x14ac:dyDescent="0.25">
      <c r="B21"/>
      <c r="C21" s="31">
        <f>C18/C19</f>
        <v>0.80405702719352279</v>
      </c>
      <c r="D21" s="39">
        <f>D18/D19</f>
        <v>0.80062483499075954</v>
      </c>
    </row>
    <row r="22" spans="2:6" ht="15.75" hidden="1" x14ac:dyDescent="0.25">
      <c r="B22" t="s">
        <v>35</v>
      </c>
      <c r="C22" s="32">
        <f>C21*C20</f>
        <v>1.0533147056235148E-2</v>
      </c>
      <c r="D22" s="40">
        <f>D21*D20</f>
        <v>1.048818533837895E-2</v>
      </c>
    </row>
    <row r="23" spans="2:6" ht="15.75" hidden="1" x14ac:dyDescent="0.25">
      <c r="B23" t="s">
        <v>36</v>
      </c>
      <c r="C23" s="33">
        <v>0.01</v>
      </c>
      <c r="D23" s="41">
        <v>0.01</v>
      </c>
    </row>
    <row r="24" spans="2:6" hidden="1" x14ac:dyDescent="0.2">
      <c r="C24" s="34"/>
      <c r="D24" s="34"/>
    </row>
    <row r="25" spans="2:6" hidden="1" x14ac:dyDescent="0.2">
      <c r="C25" s="34"/>
      <c r="D25" s="34"/>
    </row>
    <row r="26" spans="2:6" ht="15.75" hidden="1" x14ac:dyDescent="0.25">
      <c r="B26"/>
      <c r="C26" s="28" t="s">
        <v>37</v>
      </c>
      <c r="D26" s="34"/>
    </row>
    <row r="27" spans="2:6" ht="15.75" hidden="1" x14ac:dyDescent="0.25">
      <c r="B27" t="s">
        <v>38</v>
      </c>
      <c r="C27" s="29">
        <v>24135</v>
      </c>
      <c r="D27" s="37">
        <v>24145</v>
      </c>
      <c r="F27"/>
    </row>
    <row r="28" spans="2:6" ht="15.75" hidden="1" x14ac:dyDescent="0.25">
      <c r="B28" t="s">
        <v>33</v>
      </c>
      <c r="C28" s="29">
        <v>22622</v>
      </c>
      <c r="D28" s="37">
        <v>22574</v>
      </c>
      <c r="F28"/>
    </row>
    <row r="29" spans="2:6" ht="15.75" hidden="1" x14ac:dyDescent="0.25">
      <c r="B29" t="s">
        <v>34</v>
      </c>
      <c r="C29" s="30">
        <v>1.2E-2</v>
      </c>
      <c r="D29" s="38">
        <v>1.2E-2</v>
      </c>
      <c r="F29"/>
    </row>
    <row r="30" spans="2:6" ht="15.75" hidden="1" x14ac:dyDescent="0.25">
      <c r="B30"/>
      <c r="C30" s="31">
        <f>C27/C28</f>
        <v>1.0668817964813013</v>
      </c>
      <c r="D30" s="39">
        <f>D27/D28</f>
        <v>1.0695933374678834</v>
      </c>
      <c r="F30"/>
    </row>
    <row r="31" spans="2:6" ht="15.75" hidden="1" x14ac:dyDescent="0.25">
      <c r="B31" t="s">
        <v>35</v>
      </c>
      <c r="C31" s="32">
        <f>C30*C29</f>
        <v>1.2802581557775616E-2</v>
      </c>
      <c r="D31" s="40">
        <f>D30*D29</f>
        <v>1.2835120049614601E-2</v>
      </c>
      <c r="F31"/>
    </row>
    <row r="32" spans="2:6" ht="15.75" hidden="1" x14ac:dyDescent="0.25">
      <c r="B32" t="s">
        <v>36</v>
      </c>
      <c r="C32" s="30">
        <v>1.2E-2</v>
      </c>
      <c r="D32" s="42">
        <v>1.2E-2</v>
      </c>
      <c r="F32"/>
    </row>
    <row r="33" spans="2:4" hidden="1" x14ac:dyDescent="0.2">
      <c r="C33" s="34"/>
      <c r="D33" s="34"/>
    </row>
    <row r="34" spans="2:4" hidden="1" x14ac:dyDescent="0.2">
      <c r="C34" s="34"/>
      <c r="D34" s="34"/>
    </row>
    <row r="35" spans="2:4" ht="15.75" hidden="1" x14ac:dyDescent="0.25">
      <c r="B35"/>
      <c r="C35" s="28" t="s">
        <v>40</v>
      </c>
      <c r="D35" s="34"/>
    </row>
    <row r="36" spans="2:4" ht="15.75" hidden="1" x14ac:dyDescent="0.25">
      <c r="B36" t="s">
        <v>39</v>
      </c>
      <c r="C36" s="29">
        <v>17495</v>
      </c>
      <c r="D36" s="37">
        <v>17570</v>
      </c>
    </row>
    <row r="37" spans="2:4" ht="15.75" hidden="1" x14ac:dyDescent="0.25">
      <c r="B37" t="s">
        <v>33</v>
      </c>
      <c r="C37" s="29">
        <v>22737</v>
      </c>
      <c r="D37" s="37">
        <v>22744</v>
      </c>
    </row>
    <row r="38" spans="2:4" ht="15.75" hidden="1" x14ac:dyDescent="0.25">
      <c r="B38" t="s">
        <v>34</v>
      </c>
      <c r="C38" s="30">
        <v>1.32E-2</v>
      </c>
      <c r="D38" s="38">
        <v>1.3100000000000001E-2</v>
      </c>
    </row>
    <row r="39" spans="2:4" ht="15.75" hidden="1" x14ac:dyDescent="0.25">
      <c r="B39"/>
      <c r="C39" s="31">
        <f>C36/C37</f>
        <v>0.76945067511105247</v>
      </c>
      <c r="D39" s="39">
        <f>D36/D37</f>
        <v>0.77251143158635249</v>
      </c>
    </row>
    <row r="40" spans="2:4" ht="15.75" hidden="1" x14ac:dyDescent="0.25">
      <c r="B40" t="s">
        <v>35</v>
      </c>
      <c r="C40" s="32">
        <f>C39*C38</f>
        <v>1.0156748911465893E-2</v>
      </c>
      <c r="D40" s="40">
        <f>D39*D38</f>
        <v>1.0119899753781218E-2</v>
      </c>
    </row>
    <row r="41" spans="2:4" ht="15.75" hidden="1" x14ac:dyDescent="0.25">
      <c r="B41" t="s">
        <v>36</v>
      </c>
      <c r="C41" s="33">
        <v>0.02</v>
      </c>
      <c r="D41" s="41">
        <v>0.02</v>
      </c>
    </row>
    <row r="42" spans="2:4" hidden="1" x14ac:dyDescent="0.2">
      <c r="C42" s="34"/>
      <c r="D42" s="34"/>
    </row>
    <row r="43" spans="2:4" hidden="1" x14ac:dyDescent="0.2">
      <c r="C43" s="34"/>
      <c r="D43" s="34"/>
    </row>
    <row r="44" spans="2:4" ht="15.75" hidden="1" x14ac:dyDescent="0.25">
      <c r="B44"/>
      <c r="C44" s="28" t="s">
        <v>42</v>
      </c>
      <c r="D44" s="34"/>
    </row>
    <row r="45" spans="2:4" ht="15.75" hidden="1" x14ac:dyDescent="0.25">
      <c r="B45" t="s">
        <v>41</v>
      </c>
      <c r="C45" s="29">
        <v>192.85</v>
      </c>
      <c r="D45" s="37">
        <v>194.7</v>
      </c>
    </row>
    <row r="46" spans="2:4" ht="15.75" hidden="1" x14ac:dyDescent="0.25">
      <c r="B46" t="s">
        <v>33</v>
      </c>
      <c r="C46" s="29">
        <v>22735</v>
      </c>
      <c r="D46" s="37">
        <v>22683</v>
      </c>
    </row>
    <row r="47" spans="2:4" ht="15.75" hidden="1" x14ac:dyDescent="0.25">
      <c r="B47" t="s">
        <v>34</v>
      </c>
      <c r="C47" s="30">
        <v>1.15E-2</v>
      </c>
      <c r="D47" s="38">
        <v>1.11E-2</v>
      </c>
    </row>
    <row r="48" spans="2:4" ht="15.75" hidden="1" x14ac:dyDescent="0.25">
      <c r="B48"/>
      <c r="C48" s="31">
        <f>C45/C46</f>
        <v>8.4825159445788435E-3</v>
      </c>
      <c r="D48" s="39">
        <f>D45/D46</f>
        <v>8.5835206983203276E-3</v>
      </c>
    </row>
    <row r="49" spans="2:9" ht="15.75" hidden="1" x14ac:dyDescent="0.25">
      <c r="B49" t="s">
        <v>35</v>
      </c>
      <c r="C49" s="32">
        <f>C48*C47</f>
        <v>9.7548933362656703E-5</v>
      </c>
      <c r="D49" s="40">
        <f>D48*D47</f>
        <v>9.5277079751355642E-5</v>
      </c>
    </row>
    <row r="50" spans="2:9" ht="15.75" hidden="1" x14ac:dyDescent="0.25">
      <c r="B50" t="s">
        <v>36</v>
      </c>
      <c r="C50" s="33">
        <v>0.01</v>
      </c>
      <c r="D50" s="41">
        <v>0.01</v>
      </c>
    </row>
    <row r="51" spans="2:9" hidden="1" x14ac:dyDescent="0.2">
      <c r="C51" s="34"/>
      <c r="D51" s="34"/>
    </row>
    <row r="52" spans="2:9" hidden="1" x14ac:dyDescent="0.2">
      <c r="C52" s="34"/>
      <c r="D52" s="34"/>
    </row>
    <row r="53" spans="2:9" ht="15.75" hidden="1" x14ac:dyDescent="0.25">
      <c r="B53"/>
      <c r="C53" s="28" t="s">
        <v>42</v>
      </c>
      <c r="D53" s="34"/>
      <c r="H53" t="s">
        <v>47</v>
      </c>
    </row>
    <row r="54" spans="2:9" ht="15.75" hidden="1" x14ac:dyDescent="0.25">
      <c r="B54" t="s">
        <v>43</v>
      </c>
      <c r="C54" s="29">
        <v>15690</v>
      </c>
      <c r="D54" s="37">
        <v>15755</v>
      </c>
      <c r="H54" s="14">
        <v>16425</v>
      </c>
      <c r="I54" s="21">
        <v>16455</v>
      </c>
    </row>
    <row r="55" spans="2:9" ht="15.75" hidden="1" x14ac:dyDescent="0.25">
      <c r="B55" t="s">
        <v>33</v>
      </c>
      <c r="C55" s="29">
        <v>22735</v>
      </c>
      <c r="D55" s="37">
        <v>22683</v>
      </c>
      <c r="H55" s="14">
        <v>22735</v>
      </c>
      <c r="I55" s="21">
        <v>22735</v>
      </c>
    </row>
    <row r="56" spans="2:9" ht="15.75" hidden="1" x14ac:dyDescent="0.25">
      <c r="B56" t="s">
        <v>34</v>
      </c>
      <c r="C56" s="30">
        <v>1.15E-2</v>
      </c>
      <c r="D56" s="38">
        <v>1.11E-2</v>
      </c>
      <c r="H56" s="15">
        <v>1.34E-2</v>
      </c>
      <c r="I56" s="18">
        <v>1.3299999999999999E-2</v>
      </c>
    </row>
    <row r="57" spans="2:9" ht="15.75" hidden="1" x14ac:dyDescent="0.25">
      <c r="B57"/>
      <c r="C57" s="31">
        <f>C54/C55</f>
        <v>0.69012535737849134</v>
      </c>
      <c r="D57" s="39">
        <f>D54/D55</f>
        <v>0.69457302825904865</v>
      </c>
      <c r="H57" s="16">
        <f>H54/H55</f>
        <v>0.72245436551572462</v>
      </c>
      <c r="I57" s="19">
        <f>I54/I55</f>
        <v>0.72377391686826476</v>
      </c>
    </row>
    <row r="58" spans="2:9" ht="15.75" hidden="1" x14ac:dyDescent="0.25">
      <c r="B58" t="s">
        <v>35</v>
      </c>
      <c r="C58" s="32">
        <f>C57*C56</f>
        <v>7.93644160985265E-3</v>
      </c>
      <c r="D58" s="40">
        <f>D57*D56</f>
        <v>7.7097606136754407E-3</v>
      </c>
      <c r="H58" s="17">
        <f>H57*H56</f>
        <v>9.6808884979107095E-3</v>
      </c>
      <c r="I58" s="20">
        <f>I57*I56</f>
        <v>9.62619309434792E-3</v>
      </c>
    </row>
    <row r="59" spans="2:9" ht="15.75" hidden="1" x14ac:dyDescent="0.25">
      <c r="B59" t="s">
        <v>36</v>
      </c>
      <c r="C59" s="35">
        <v>1.2E-2</v>
      </c>
      <c r="D59" s="42">
        <v>1.2E-2</v>
      </c>
      <c r="E59" s="12" t="s">
        <v>44</v>
      </c>
      <c r="F59" s="12" t="s">
        <v>46</v>
      </c>
      <c r="H59" s="23">
        <v>0.02</v>
      </c>
      <c r="I59" s="24">
        <v>0.02</v>
      </c>
    </row>
    <row r="60" spans="2:9" ht="15.75" hidden="1" x14ac:dyDescent="0.25">
      <c r="B60" t="s">
        <v>36</v>
      </c>
      <c r="C60" s="36">
        <v>0.01</v>
      </c>
      <c r="D60" s="36">
        <v>0.01</v>
      </c>
      <c r="E60" s="12" t="s">
        <v>45</v>
      </c>
      <c r="F60" s="12" t="s">
        <v>46</v>
      </c>
      <c r="H60" s="22"/>
      <c r="I60" s="22"/>
    </row>
    <row r="61" spans="2:9" hidden="1" x14ac:dyDescent="0.2">
      <c r="C61" s="34"/>
      <c r="D61" s="34"/>
    </row>
    <row r="62" spans="2:9" hidden="1" x14ac:dyDescent="0.2">
      <c r="C62" s="34"/>
      <c r="D62" s="34"/>
    </row>
    <row r="63" spans="2:9" hidden="1" x14ac:dyDescent="0.2">
      <c r="C63" s="34"/>
      <c r="D63" s="34"/>
    </row>
    <row r="64" spans="2:9" hidden="1" x14ac:dyDescent="0.2">
      <c r="C64" s="34"/>
      <c r="D64" s="34"/>
    </row>
    <row r="65" spans="3:4" hidden="1" x14ac:dyDescent="0.2">
      <c r="C65" s="34"/>
      <c r="D65" s="34"/>
    </row>
    <row r="66" spans="3:4" hidden="1" x14ac:dyDescent="0.2">
      <c r="C66" s="34"/>
      <c r="D66" s="34"/>
    </row>
    <row r="67" spans="3:4" hidden="1" x14ac:dyDescent="0.2">
      <c r="C67" s="34"/>
      <c r="D67" s="34"/>
    </row>
    <row r="68" spans="3:4" hidden="1" x14ac:dyDescent="0.2">
      <c r="C68" s="34"/>
      <c r="D68" s="34"/>
    </row>
    <row r="69" spans="3:4" hidden="1" x14ac:dyDescent="0.2">
      <c r="C69" s="34"/>
      <c r="D69" s="34"/>
    </row>
    <row r="70" spans="3:4" hidden="1" x14ac:dyDescent="0.2">
      <c r="C70" s="34"/>
      <c r="D70" s="34"/>
    </row>
    <row r="71" spans="3:4" hidden="1" x14ac:dyDescent="0.2">
      <c r="C71" s="34"/>
      <c r="D71" s="34"/>
    </row>
    <row r="72" spans="3:4" hidden="1" x14ac:dyDescent="0.2">
      <c r="C72" s="34"/>
      <c r="D72" s="34"/>
    </row>
    <row r="73" spans="3:4" hidden="1" x14ac:dyDescent="0.2">
      <c r="C73" s="34"/>
      <c r="D73" s="34"/>
    </row>
    <row r="74" spans="3:4" hidden="1" x14ac:dyDescent="0.2">
      <c r="C74" s="34"/>
      <c r="D74" s="34"/>
    </row>
    <row r="75" spans="3:4" hidden="1" x14ac:dyDescent="0.2">
      <c r="C75" s="34"/>
      <c r="D75" s="34"/>
    </row>
    <row r="76" spans="3:4" hidden="1" x14ac:dyDescent="0.2">
      <c r="C76" s="34"/>
      <c r="D76" s="34"/>
    </row>
    <row r="77" spans="3:4" hidden="1" x14ac:dyDescent="0.2">
      <c r="C77" s="34"/>
      <c r="D77" s="34"/>
    </row>
    <row r="78" spans="3:4" hidden="1" x14ac:dyDescent="0.2">
      <c r="C78" s="34"/>
      <c r="D78" s="34"/>
    </row>
    <row r="79" spans="3:4" hidden="1" x14ac:dyDescent="0.2">
      <c r="C79" s="34"/>
      <c r="D79" s="34"/>
    </row>
    <row r="80" spans="3:4" hidden="1" x14ac:dyDescent="0.2">
      <c r="C80" s="34"/>
      <c r="D80" s="34"/>
    </row>
    <row r="81" spans="3:4" hidden="1" x14ac:dyDescent="0.2">
      <c r="C81" s="34"/>
      <c r="D81" s="34"/>
    </row>
    <row r="82" spans="3:4" hidden="1" x14ac:dyDescent="0.2">
      <c r="C82" s="34"/>
      <c r="D82" s="34"/>
    </row>
    <row r="83" spans="3:4" hidden="1" x14ac:dyDescent="0.2">
      <c r="C83" s="34"/>
      <c r="D83" s="34"/>
    </row>
    <row r="84" spans="3:4" hidden="1" x14ac:dyDescent="0.2">
      <c r="C84" s="34"/>
      <c r="D84" s="34"/>
    </row>
    <row r="85" spans="3:4" hidden="1" x14ac:dyDescent="0.2">
      <c r="C85" s="34"/>
      <c r="D85" s="34"/>
    </row>
    <row r="86" spans="3:4" hidden="1" x14ac:dyDescent="0.2">
      <c r="C86" s="34"/>
      <c r="D86" s="34"/>
    </row>
    <row r="87" spans="3:4" hidden="1" x14ac:dyDescent="0.2">
      <c r="C87" s="34"/>
      <c r="D87" s="34"/>
    </row>
    <row r="88" spans="3:4" hidden="1" x14ac:dyDescent="0.2">
      <c r="C88" s="34"/>
      <c r="D88" s="34"/>
    </row>
    <row r="89" spans="3:4" hidden="1" x14ac:dyDescent="0.2">
      <c r="C89" s="34"/>
      <c r="D89" s="34"/>
    </row>
    <row r="90" spans="3:4" hidden="1" x14ac:dyDescent="0.2">
      <c r="C90" s="34"/>
      <c r="D90" s="34"/>
    </row>
    <row r="91" spans="3:4" hidden="1" x14ac:dyDescent="0.2">
      <c r="C91" s="34"/>
      <c r="D91" s="34"/>
    </row>
    <row r="92" spans="3:4" hidden="1" x14ac:dyDescent="0.2">
      <c r="C92" s="34"/>
      <c r="D92" s="34"/>
    </row>
    <row r="93" spans="3:4" hidden="1" x14ac:dyDescent="0.2">
      <c r="C93" s="34"/>
      <c r="D93" s="34"/>
    </row>
    <row r="94" spans="3:4" hidden="1" x14ac:dyDescent="0.2">
      <c r="C94" s="34"/>
      <c r="D94" s="34"/>
    </row>
    <row r="95" spans="3:4" hidden="1" x14ac:dyDescent="0.2">
      <c r="C95" s="34"/>
      <c r="D95" s="34"/>
    </row>
    <row r="96" spans="3:4" hidden="1" x14ac:dyDescent="0.2">
      <c r="C96" s="34"/>
      <c r="D96" s="34"/>
    </row>
    <row r="97" spans="2:4" hidden="1" x14ac:dyDescent="0.2">
      <c r="C97" s="34"/>
      <c r="D97" s="34"/>
    </row>
    <row r="98" spans="2:4" hidden="1" x14ac:dyDescent="0.2">
      <c r="C98" s="34"/>
      <c r="D98" s="34"/>
    </row>
    <row r="99" spans="2:4" hidden="1" x14ac:dyDescent="0.2">
      <c r="C99" s="34"/>
      <c r="D99" s="34"/>
    </row>
    <row r="100" spans="2:4" hidden="1" x14ac:dyDescent="0.2">
      <c r="C100" s="34"/>
      <c r="D100" s="34"/>
    </row>
    <row r="101" spans="2:4" hidden="1" x14ac:dyDescent="0.2">
      <c r="C101" s="34"/>
      <c r="D101" s="34"/>
    </row>
    <row r="102" spans="2:4" hidden="1" x14ac:dyDescent="0.2">
      <c r="C102" s="34"/>
      <c r="D102" s="34"/>
    </row>
    <row r="103" spans="2:4" hidden="1" x14ac:dyDescent="0.2">
      <c r="C103" s="34"/>
      <c r="D103" s="34"/>
    </row>
    <row r="104" spans="2:4" hidden="1" x14ac:dyDescent="0.2">
      <c r="C104" s="34"/>
      <c r="D104" s="34"/>
    </row>
    <row r="105" spans="2:4" hidden="1" x14ac:dyDescent="0.2">
      <c r="C105" s="34"/>
      <c r="D105" s="34"/>
    </row>
    <row r="106" spans="2:4" hidden="1" x14ac:dyDescent="0.2">
      <c r="C106" s="34"/>
      <c r="D106" s="34"/>
    </row>
    <row r="107" spans="2:4" x14ac:dyDescent="0.2">
      <c r="B107" s="12" t="s">
        <v>55</v>
      </c>
      <c r="C107" s="61" t="s">
        <v>96</v>
      </c>
      <c r="D107" s="34" t="s">
        <v>97</v>
      </c>
    </row>
    <row r="108" spans="2:4" x14ac:dyDescent="0.2">
      <c r="B108" s="12" t="s">
        <v>56</v>
      </c>
      <c r="C108" s="61" t="s">
        <v>130</v>
      </c>
      <c r="D108" s="34" t="s">
        <v>101</v>
      </c>
    </row>
    <row r="109" spans="2:4" x14ac:dyDescent="0.2">
      <c r="B109" s="12" t="s">
        <v>57</v>
      </c>
      <c r="C109" s="61" t="s">
        <v>130</v>
      </c>
      <c r="D109" s="34" t="s">
        <v>121</v>
      </c>
    </row>
    <row r="110" spans="2:4" x14ac:dyDescent="0.2">
      <c r="B110" s="12" t="s">
        <v>58</v>
      </c>
      <c r="C110" s="61" t="s">
        <v>130</v>
      </c>
      <c r="D110" s="34" t="s">
        <v>104</v>
      </c>
    </row>
    <row r="111" spans="2:4" x14ac:dyDescent="0.2">
      <c r="B111" s="12" t="s">
        <v>41</v>
      </c>
      <c r="C111" s="61" t="s">
        <v>130</v>
      </c>
      <c r="D111" s="34" t="s">
        <v>123</v>
      </c>
    </row>
    <row r="112" spans="2:4" x14ac:dyDescent="0.2">
      <c r="B112" s="12" t="s">
        <v>43</v>
      </c>
      <c r="C112" s="61" t="s">
        <v>130</v>
      </c>
      <c r="D112" s="34" t="s">
        <v>124</v>
      </c>
    </row>
    <row r="113" spans="2:4" x14ac:dyDescent="0.2">
      <c r="B113" s="12" t="s">
        <v>59</v>
      </c>
      <c r="C113" s="61" t="s">
        <v>130</v>
      </c>
      <c r="D113" s="34" t="s">
        <v>102</v>
      </c>
    </row>
    <row r="114" spans="2:4" x14ac:dyDescent="0.2">
      <c r="B114" s="12" t="s">
        <v>61</v>
      </c>
      <c r="C114" s="61" t="s">
        <v>130</v>
      </c>
      <c r="D114" s="34" t="s">
        <v>103</v>
      </c>
    </row>
    <row r="115" spans="2:4" x14ac:dyDescent="0.2">
      <c r="B115" s="12" t="s">
        <v>62</v>
      </c>
      <c r="C115" s="61" t="s">
        <v>130</v>
      </c>
      <c r="D115" s="34" t="s">
        <v>122</v>
      </c>
    </row>
    <row r="116" spans="2:4" x14ac:dyDescent="0.2">
      <c r="B116" s="1" t="s">
        <v>115</v>
      </c>
      <c r="C116" s="61" t="s">
        <v>130</v>
      </c>
      <c r="D116" s="34" t="s">
        <v>125</v>
      </c>
    </row>
    <row r="117" spans="2:4" x14ac:dyDescent="0.2">
      <c r="B117" s="1" t="s">
        <v>116</v>
      </c>
      <c r="C117" s="61" t="s">
        <v>130</v>
      </c>
      <c r="D117" s="34" t="s">
        <v>126</v>
      </c>
    </row>
    <row r="119" spans="2:4" x14ac:dyDescent="0.2">
      <c r="B119" s="1" t="s">
        <v>117</v>
      </c>
    </row>
    <row r="120" spans="2:4" ht="8.25" customHeight="1" x14ac:dyDescent="0.2"/>
    <row r="121" spans="2:4" x14ac:dyDescent="0.2">
      <c r="B121" s="1" t="s">
        <v>131</v>
      </c>
    </row>
    <row r="122" spans="2:4" ht="23.25" customHeight="1" x14ac:dyDescent="0.2">
      <c r="B122" s="1" t="s">
        <v>29</v>
      </c>
    </row>
    <row r="123" spans="2:4" x14ac:dyDescent="0.2">
      <c r="B123" s="1" t="s">
        <v>132</v>
      </c>
    </row>
  </sheetData>
  <mergeCells count="1">
    <mergeCell ref="B2:H2"/>
  </mergeCells>
  <pageMargins left="0.7" right="0.7" top="0.75" bottom="0.75" header="0.3" footer="0.3"/>
  <pageSetup paperSize="9" scale="66" fitToHeight="0" orientation="landscape"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48"/>
  <sheetViews>
    <sheetView tabSelected="1" topLeftCell="A25" zoomScale="90" zoomScaleNormal="90" workbookViewId="0">
      <selection activeCell="G17" sqref="G17"/>
    </sheetView>
  </sheetViews>
  <sheetFormatPr defaultColWidth="10.875" defaultRowHeight="15" x14ac:dyDescent="0.2"/>
  <cols>
    <col min="1" max="1" width="3.125" style="1" customWidth="1"/>
    <col min="2" max="2" width="25.375" style="1" customWidth="1"/>
    <col min="3" max="3" width="17.625" style="1" bestFit="1" customWidth="1"/>
    <col min="4" max="4" width="20.875" style="1" bestFit="1" customWidth="1"/>
    <col min="5" max="5" width="12.5" style="1" customWidth="1"/>
    <col min="6" max="6" width="13.25" style="1" customWidth="1"/>
    <col min="7" max="7" width="14" style="1" bestFit="1" customWidth="1"/>
    <col min="8" max="8" width="15" style="1" customWidth="1"/>
    <col min="9" max="16384" width="10.875" style="1"/>
  </cols>
  <sheetData>
    <row r="2" spans="2:8" ht="20.25" x14ac:dyDescent="0.3">
      <c r="B2" s="71" t="str">
        <f>Main!B10</f>
        <v>Valuation model for MM instruments</v>
      </c>
      <c r="C2" s="71"/>
      <c r="D2" s="71"/>
      <c r="E2" s="71"/>
      <c r="F2" s="71"/>
      <c r="G2" s="71"/>
      <c r="H2" s="71"/>
    </row>
    <row r="4" spans="2:8" x14ac:dyDescent="0.2">
      <c r="B4" s="6" t="s">
        <v>20</v>
      </c>
    </row>
    <row r="6" spans="2:8" x14ac:dyDescent="0.2">
      <c r="B6" s="69" t="s">
        <v>140</v>
      </c>
      <c r="C6" s="69"/>
      <c r="D6" s="69"/>
      <c r="E6" s="69"/>
      <c r="F6" s="69"/>
      <c r="G6" s="69"/>
      <c r="H6" s="69"/>
    </row>
    <row r="9" spans="2:8" x14ac:dyDescent="0.2">
      <c r="B9" s="6" t="s">
        <v>21</v>
      </c>
    </row>
    <row r="11" spans="2:8" x14ac:dyDescent="0.2">
      <c r="B11" s="44" t="s">
        <v>82</v>
      </c>
      <c r="C11" s="44"/>
      <c r="D11" s="12"/>
      <c r="F11" s="84" t="s">
        <v>143</v>
      </c>
      <c r="G11" s="84" t="s">
        <v>142</v>
      </c>
      <c r="H11" s="25" t="s">
        <v>83</v>
      </c>
    </row>
    <row r="12" spans="2:8" x14ac:dyDescent="0.2">
      <c r="B12" s="12" t="s">
        <v>66</v>
      </c>
      <c r="C12" s="63">
        <v>300000000000</v>
      </c>
      <c r="D12" s="12"/>
      <c r="F12" s="64" t="s">
        <v>144</v>
      </c>
      <c r="G12" s="86">
        <v>1.5299999999999999E-2</v>
      </c>
      <c r="H12" s="1">
        <v>1</v>
      </c>
    </row>
    <row r="13" spans="2:8" x14ac:dyDescent="0.2">
      <c r="B13" s="12" t="s">
        <v>67</v>
      </c>
      <c r="C13" s="46">
        <v>43824</v>
      </c>
      <c r="D13" s="12"/>
      <c r="F13" s="85" t="s">
        <v>145</v>
      </c>
      <c r="G13" s="53">
        <v>2.3699999999999999E-2</v>
      </c>
      <c r="H13" s="1">
        <v>7</v>
      </c>
    </row>
    <row r="14" spans="2:8" x14ac:dyDescent="0.2">
      <c r="B14" s="12" t="s">
        <v>63</v>
      </c>
      <c r="C14" s="46">
        <v>43838</v>
      </c>
      <c r="D14" s="12"/>
      <c r="E14" s="12"/>
      <c r="F14" s="85" t="s">
        <v>146</v>
      </c>
      <c r="G14" s="53">
        <v>3.1300000000000001E-2</v>
      </c>
      <c r="H14" s="1">
        <v>14</v>
      </c>
    </row>
    <row r="15" spans="2:8" x14ac:dyDescent="0.2">
      <c r="B15" s="12" t="s">
        <v>75</v>
      </c>
      <c r="C15" s="46">
        <v>43829</v>
      </c>
      <c r="D15" s="12"/>
      <c r="E15" s="12"/>
      <c r="F15" s="12"/>
      <c r="G15" s="12"/>
    </row>
    <row r="16" spans="2:8" x14ac:dyDescent="0.2">
      <c r="B16" s="12" t="s">
        <v>79</v>
      </c>
      <c r="C16" s="52">
        <f>C14-C13</f>
        <v>14</v>
      </c>
      <c r="D16" s="12"/>
      <c r="E16" s="12"/>
      <c r="F16" s="12"/>
      <c r="G16" s="12"/>
    </row>
    <row r="17" spans="2:7" x14ac:dyDescent="0.2">
      <c r="B17" s="12" t="s">
        <v>80</v>
      </c>
      <c r="C17" s="52">
        <f>C14-C15</f>
        <v>9</v>
      </c>
      <c r="D17" s="12"/>
      <c r="E17" s="12"/>
      <c r="F17" s="12"/>
      <c r="G17" s="12"/>
    </row>
    <row r="18" spans="2:7" x14ac:dyDescent="0.2">
      <c r="B18" s="12" t="s">
        <v>81</v>
      </c>
      <c r="C18" s="48">
        <v>3.3000000000000002E-2</v>
      </c>
      <c r="D18" s="12"/>
      <c r="E18" s="12"/>
      <c r="F18" s="12"/>
      <c r="G18" s="12"/>
    </row>
    <row r="19" spans="2:7" x14ac:dyDescent="0.2">
      <c r="B19" s="12" t="s">
        <v>68</v>
      </c>
      <c r="C19" s="47" t="s">
        <v>64</v>
      </c>
      <c r="D19" s="12"/>
      <c r="E19" s="12"/>
      <c r="F19" s="12"/>
      <c r="G19" s="12"/>
    </row>
    <row r="20" spans="2:7" x14ac:dyDescent="0.2">
      <c r="B20" s="12" t="s">
        <v>69</v>
      </c>
      <c r="C20" s="47" t="s">
        <v>70</v>
      </c>
      <c r="D20" s="12"/>
      <c r="E20" s="12"/>
      <c r="F20" s="12"/>
      <c r="G20" s="12"/>
    </row>
    <row r="21" spans="2:7" x14ac:dyDescent="0.2">
      <c r="B21" s="12" t="s">
        <v>65</v>
      </c>
      <c r="C21" s="83" t="s">
        <v>141</v>
      </c>
      <c r="D21" s="12"/>
      <c r="E21" s="12"/>
      <c r="F21" s="12"/>
      <c r="G21" s="12"/>
    </row>
    <row r="24" spans="2:7" x14ac:dyDescent="0.2">
      <c r="B24" s="6" t="s">
        <v>22</v>
      </c>
    </row>
    <row r="26" spans="2:7" x14ac:dyDescent="0.2">
      <c r="B26" s="13" t="s">
        <v>71</v>
      </c>
      <c r="C26" s="13"/>
      <c r="D26" s="13"/>
      <c r="E26" s="13"/>
      <c r="F26" s="13"/>
    </row>
    <row r="27" spans="2:7" x14ac:dyDescent="0.2">
      <c r="B27" s="12"/>
      <c r="C27" s="12"/>
      <c r="D27" s="12"/>
      <c r="E27" s="12"/>
      <c r="F27" s="12"/>
    </row>
    <row r="28" spans="2:7" x14ac:dyDescent="0.2">
      <c r="B28" s="44" t="s">
        <v>72</v>
      </c>
      <c r="C28" s="44" t="s">
        <v>73</v>
      </c>
      <c r="D28" s="44"/>
      <c r="E28" s="44"/>
      <c r="F28" s="12"/>
    </row>
    <row r="29" spans="2:7" x14ac:dyDescent="0.2">
      <c r="B29" s="46">
        <v>43838</v>
      </c>
      <c r="C29" s="49">
        <v>300000000000</v>
      </c>
      <c r="D29" s="49"/>
      <c r="E29" s="12"/>
      <c r="F29" s="12"/>
    </row>
    <row r="30" spans="2:7" x14ac:dyDescent="0.2">
      <c r="B30" s="46">
        <v>43838</v>
      </c>
      <c r="C30" s="49">
        <f>C12*((C14-C13)/365)*C18</f>
        <v>379726027.39726031</v>
      </c>
      <c r="D30" s="49"/>
      <c r="E30" s="12"/>
      <c r="F30" s="12"/>
    </row>
    <row r="31" spans="2:7" x14ac:dyDescent="0.2">
      <c r="B31" s="12"/>
      <c r="C31" s="12"/>
      <c r="D31" s="12"/>
      <c r="E31" s="12"/>
      <c r="F31" s="12"/>
    </row>
    <row r="32" spans="2:7" x14ac:dyDescent="0.2">
      <c r="B32" s="12"/>
      <c r="C32" s="12"/>
      <c r="D32" s="12"/>
      <c r="E32" s="12"/>
      <c r="F32" s="12"/>
    </row>
    <row r="33" spans="2:6" x14ac:dyDescent="0.2">
      <c r="B33" s="13" t="s">
        <v>77</v>
      </c>
      <c r="C33" s="12"/>
      <c r="D33" s="12"/>
      <c r="E33" s="12"/>
      <c r="F33" s="12"/>
    </row>
    <row r="34" spans="2:6" x14ac:dyDescent="0.2">
      <c r="B34" s="12"/>
      <c r="C34" s="12"/>
      <c r="D34" s="12"/>
      <c r="E34" s="12"/>
      <c r="F34" s="12"/>
    </row>
    <row r="35" spans="2:6" x14ac:dyDescent="0.2">
      <c r="B35" s="12" t="s">
        <v>75</v>
      </c>
      <c r="C35" s="12"/>
      <c r="D35" s="45">
        <v>43829</v>
      </c>
      <c r="E35" s="12"/>
      <c r="F35" s="12"/>
    </row>
    <row r="36" spans="2:6" x14ac:dyDescent="0.2">
      <c r="B36" s="12" t="s">
        <v>78</v>
      </c>
      <c r="C36" s="12"/>
      <c r="D36" s="50">
        <f>((H14-C17)*G13+(C17-H13)*G14)/(H14-H13)</f>
        <v>2.587142857142857E-2</v>
      </c>
      <c r="E36" s="12"/>
      <c r="F36" s="12"/>
    </row>
    <row r="37" spans="2:6" x14ac:dyDescent="0.2">
      <c r="B37" s="12"/>
      <c r="C37" s="12"/>
      <c r="D37" s="12"/>
      <c r="E37" s="12"/>
      <c r="F37" s="12"/>
    </row>
    <row r="38" spans="2:6" x14ac:dyDescent="0.2">
      <c r="B38" s="13" t="s">
        <v>76</v>
      </c>
      <c r="C38" s="12"/>
      <c r="D38" s="12"/>
      <c r="E38" s="12"/>
      <c r="F38" s="12"/>
    </row>
    <row r="39" spans="2:6" x14ac:dyDescent="0.2">
      <c r="B39" s="12"/>
      <c r="C39" s="12"/>
      <c r="D39" s="12"/>
      <c r="E39" s="12"/>
      <c r="F39" s="12"/>
    </row>
    <row r="40" spans="2:6" x14ac:dyDescent="0.2">
      <c r="B40" s="44" t="s">
        <v>75</v>
      </c>
      <c r="C40" s="44" t="s">
        <v>73</v>
      </c>
      <c r="D40" s="44" t="s">
        <v>74</v>
      </c>
      <c r="E40" s="12"/>
      <c r="F40" s="12"/>
    </row>
    <row r="41" spans="2:6" x14ac:dyDescent="0.2">
      <c r="B41" s="46">
        <v>43838</v>
      </c>
      <c r="C41" s="49">
        <f>C29</f>
        <v>300000000000</v>
      </c>
      <c r="D41" s="54">
        <f>C41/(1+D36*C17/365)</f>
        <v>299808744316.10144</v>
      </c>
    </row>
    <row r="42" spans="2:6" x14ac:dyDescent="0.2">
      <c r="B42" s="46">
        <v>43838</v>
      </c>
      <c r="C42" s="49">
        <f>C30</f>
        <v>379726027.39726031</v>
      </c>
      <c r="D42" s="54">
        <f>C42/(1+D36*C17/365)</f>
        <v>379483944.86038047</v>
      </c>
    </row>
    <row r="43" spans="2:6" x14ac:dyDescent="0.2">
      <c r="B43" s="44" t="s">
        <v>84</v>
      </c>
      <c r="C43" s="51"/>
      <c r="D43" s="55">
        <f>SUM(D41:D42)</f>
        <v>300188228260.96179</v>
      </c>
    </row>
    <row r="47" spans="2:6" x14ac:dyDescent="0.2">
      <c r="D47" s="62"/>
    </row>
    <row r="48" spans="2:6" x14ac:dyDescent="0.2">
      <c r="D48" s="62"/>
    </row>
  </sheetData>
  <mergeCells count="2">
    <mergeCell ref="B2:H2"/>
    <mergeCell ref="B6:H6"/>
  </mergeCells>
  <pageMargins left="0.7" right="0.7" top="0.75" bottom="0.75" header="0.3" footer="0.3"/>
  <pageSetup paperSize="9" scale="79" fitToHeight="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Main</vt:lpstr>
      <vt:lpstr>1. Description</vt:lpstr>
      <vt:lpstr>2. Model inputs</vt:lpstr>
      <vt:lpstr>3. Unobservable inputs</vt:lpstr>
      <vt:lpstr>4. Fair Value Level</vt:lpstr>
      <vt:lpstr>5. Calculation formulas</vt:lpstr>
      <vt:lpstr>6. Example</vt:lpstr>
      <vt:lpstr>'1. Description'!Print_Area</vt:lpstr>
      <vt:lpstr>'2. Model inputs'!Print_Area</vt:lpstr>
      <vt:lpstr>'3. Unobservable inputs'!Print_Area</vt:lpstr>
      <vt:lpstr>'4. Fair Value Level'!Print_Area</vt:lpstr>
      <vt:lpstr>'5. Calculation formulas'!Print_Area</vt:lpstr>
      <vt:lpstr>'6. Example'!Print_Area</vt:lpstr>
      <vt:lpstr>Main!Print_Area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Anh Dinh Thi Hai (RMD - MCRMD)</cp:lastModifiedBy>
  <cp:lastPrinted>2018-03-30T08:30:37Z</cp:lastPrinted>
  <dcterms:created xsi:type="dcterms:W3CDTF">2016-03-23T11:21:22Z</dcterms:created>
  <dcterms:modified xsi:type="dcterms:W3CDTF">2019-12-31T04:03:47Z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98eadb17-94c9-454e-828a-d2b824872f3c</vt:lpwstr>
  </property>
</Properties>
</file>