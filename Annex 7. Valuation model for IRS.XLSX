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K:\RMD\MCRMD\INTERNAL\40. RISK MANAGEMENT\40. VALUATION\04. DOCUMENT\Ver 1\Final\"/>
    </mc:Choice>
  </mc:AlternateContent>
  <bookViews>
    <workbookView xWindow="0" yWindow="0" windowWidth="28800" windowHeight="12450" tabRatio="709" activeTab="5"/>
  </bookViews>
  <sheets>
    <sheet name="MAIN" sheetId="1" r:id="rId1"/>
    <sheet name="1. Description" sheetId="2" r:id="rId2"/>
    <sheet name="2. Model inputs" sheetId="3" r:id="rId3"/>
    <sheet name="3. Unobservable inputs" sheetId="4" r:id="rId4"/>
    <sheet name="4. Fair Value Level" sheetId="5" r:id="rId5"/>
    <sheet name="5. Calculation formulas" sheetId="6" r:id="rId6"/>
    <sheet name="6. Example" sheetId="7" r:id="rId7"/>
  </sheets>
  <definedNames>
    <definedName name="_xlnm.Print_Area" localSheetId="0">MAIN!$A$1:$I$35</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E49" i="7" l="1"/>
  <c r="E50" i="7"/>
  <c r="E51" i="7"/>
  <c r="E52" i="7"/>
  <c r="E48" i="7"/>
  <c r="D49" i="7"/>
  <c r="D50" i="7"/>
  <c r="D51" i="7"/>
  <c r="D52" i="7"/>
  <c r="D48" i="7"/>
  <c r="F39" i="7"/>
  <c r="F40" i="7"/>
  <c r="F41" i="7"/>
  <c r="F42" i="7"/>
  <c r="F38" i="7"/>
  <c r="E39" i="7"/>
  <c r="E40" i="7"/>
  <c r="E41" i="7"/>
  <c r="E42" i="7"/>
  <c r="E38" i="7"/>
  <c r="D31" i="7"/>
  <c r="E32" i="7" s="1"/>
  <c r="D32" i="7"/>
  <c r="D33" i="7"/>
  <c r="E34" i="7" s="1"/>
  <c r="D34" i="7"/>
  <c r="D30" i="7"/>
  <c r="E33" i="7"/>
  <c r="E31" i="7"/>
  <c r="B31" i="7"/>
  <c r="B32" i="7"/>
  <c r="B33" i="7"/>
  <c r="B34" i="7"/>
  <c r="B30" i="7"/>
  <c r="F34" i="7" l="1"/>
  <c r="F33" i="7"/>
  <c r="F32" i="7"/>
  <c r="F31" i="7"/>
  <c r="F30" i="7"/>
  <c r="C34" i="7"/>
  <c r="C33" i="7"/>
  <c r="C32" i="7"/>
  <c r="C31" i="7"/>
  <c r="C30" i="7"/>
  <c r="F51" i="7" l="1"/>
  <c r="F49" i="7"/>
  <c r="F50" i="7"/>
  <c r="F52" i="7"/>
  <c r="F48" i="7"/>
  <c r="G49" i="7" l="1"/>
  <c r="G52" i="7"/>
  <c r="G50" i="7"/>
  <c r="G51" i="7"/>
  <c r="E30" i="7"/>
  <c r="G48" i="7" l="1"/>
  <c r="C56" i="7" s="1"/>
  <c r="C60" i="7" s="1"/>
  <c r="B3" i="7"/>
  <c r="B3" i="6"/>
  <c r="B3" i="5"/>
  <c r="B3" i="4"/>
  <c r="B3" i="3"/>
  <c r="B3" i="2"/>
</calcChain>
</file>

<file path=xl/sharedStrings.xml><?xml version="1.0" encoding="utf-8"?>
<sst xmlns="http://schemas.openxmlformats.org/spreadsheetml/2006/main" count="158" uniqueCount="140">
  <si>
    <t>Market Risk Management</t>
  </si>
  <si>
    <t>Applicable for products:</t>
  </si>
  <si>
    <t>Model developed by:</t>
  </si>
  <si>
    <t>Input name</t>
  </si>
  <si>
    <t>Reference to market data</t>
  </si>
  <si>
    <t>Observable inputs *</t>
  </si>
  <si>
    <t>Unobservable inputs **</t>
  </si>
  <si>
    <t>Description</t>
  </si>
  <si>
    <t>(see explanation below)</t>
  </si>
  <si>
    <t>Observable and unobservable inputs</t>
  </si>
  <si>
    <t>Unobservable inputs derivation</t>
  </si>
  <si>
    <t>Unobservable inputs monitoring</t>
  </si>
  <si>
    <t>[what are the conditions for re-concideration of unobservable inputs]</t>
  </si>
  <si>
    <t>Fair value level concideration</t>
  </si>
  <si>
    <t>Rationals:</t>
  </si>
  <si>
    <t>Formulas for fair value calculation</t>
  </si>
  <si>
    <t>Example</t>
  </si>
  <si>
    <t>[Example description]</t>
  </si>
  <si>
    <t>Assumed input parameters</t>
  </si>
  <si>
    <t>Calculation</t>
  </si>
  <si>
    <t>Desciption</t>
  </si>
  <si>
    <t>Model uncertainties and risk</t>
  </si>
  <si>
    <t>IRS</t>
  </si>
  <si>
    <t>Interest rate swaps</t>
  </si>
  <si>
    <t>version 0.1</t>
  </si>
  <si>
    <t>Approved by:</t>
  </si>
  <si>
    <t>Approval date:</t>
  </si>
  <si>
    <t>Next review date:</t>
  </si>
  <si>
    <t>tbd</t>
  </si>
  <si>
    <t>Linh Le Thi (RMD - CMD) &lt;linhlt5@vpbank.com.vn&gt;</t>
  </si>
  <si>
    <t>RCO</t>
  </si>
  <si>
    <t>Content</t>
  </si>
  <si>
    <t>1. Description</t>
  </si>
  <si>
    <t>5. Calculation formulas</t>
  </si>
  <si>
    <t>2. Model inputs</t>
  </si>
  <si>
    <t>6. Example</t>
  </si>
  <si>
    <t>3. Unobservable inputs</t>
  </si>
  <si>
    <t>4. Fair value level</t>
  </si>
  <si>
    <t>USD zero curve</t>
  </si>
  <si>
    <r>
      <rPr>
        <b/>
        <i/>
        <sz val="12"/>
        <color theme="1"/>
        <rFont val="Arial"/>
        <family val="2"/>
      </rPr>
      <t xml:space="preserve">Observable inputs *: </t>
    </r>
    <r>
      <rPr>
        <sz val="12"/>
        <color theme="1"/>
        <rFont val="Arial"/>
        <family val="2"/>
      </rPr>
      <t>Observable inputs are valuation inputs seen at an outside source available to market participants. Examples of observable valuation inputs are:
- market quotes;
- quoted curves;
- calculated curves derived from quoted curves;
- derived curves (for example derived zero curves) under the condition that only widely accepted calculation methods are used.</t>
    </r>
    <r>
      <rPr>
        <b/>
        <i/>
        <sz val="12"/>
        <color theme="1"/>
        <rFont val="Arial"/>
        <family val="2"/>
      </rPr>
      <t xml:space="preserve">
</t>
    </r>
    <r>
      <rPr>
        <sz val="12"/>
        <color theme="1"/>
        <rFont val="Arial"/>
        <family val="2"/>
      </rPr>
      <t xml:space="preserve">
</t>
    </r>
    <r>
      <rPr>
        <b/>
        <i/>
        <sz val="12"/>
        <color theme="1"/>
        <rFont val="Arial"/>
        <family val="2"/>
      </rPr>
      <t>Unobservable inputs **:</t>
    </r>
    <r>
      <rPr>
        <sz val="12"/>
        <color theme="1"/>
        <rFont val="Arial"/>
        <family val="2"/>
      </rPr>
      <t xml:space="preserve"> Unobservable inputs are valuation inputs that are not available on the market, but produced by the institution. Examples of unobservable valuation inputs are:
- internal ratings and related probabilities of default;
- derived curves with the usage of non standard methods;
- valuation statements provided by 3rd parties.
</t>
    </r>
  </si>
  <si>
    <t>The application of the model will result in: Fair Value Level 2</t>
  </si>
  <si>
    <t>Valuation model for IRS</t>
  </si>
  <si>
    <t>EUR zero curve</t>
  </si>
  <si>
    <t>This model does not have any unobservable imputs.</t>
  </si>
  <si>
    <t>where:</t>
  </si>
  <si>
    <t>where:
DF(0,t1): discounted factor at t1
DF(0,t2): discounted factor at t2
t2, t1: tenor of reference interest rate
r: forward rate</t>
  </si>
  <si>
    <r>
      <rPr>
        <b/>
        <sz val="12"/>
        <color theme="1"/>
        <rFont val="Arial"/>
        <family val="2"/>
      </rPr>
      <t>Forward rate</t>
    </r>
    <r>
      <rPr>
        <sz val="12"/>
        <color theme="1"/>
        <rFont val="Arial"/>
        <family val="2"/>
      </rPr>
      <t xml:space="preserve"> is an interest rate calculated based on certain curves for rest payment periods of floating interest rate contracts.
</t>
    </r>
  </si>
  <si>
    <t>Present value of cash flow:</t>
  </si>
  <si>
    <t>CF stands for cash flows</t>
  </si>
  <si>
    <t>Tenor</t>
  </si>
  <si>
    <t>Principal amount</t>
  </si>
  <si>
    <t>Fixed rate</t>
  </si>
  <si>
    <t>Floating rate</t>
  </si>
  <si>
    <t>Libor 6M</t>
  </si>
  <si>
    <t>VPBank</t>
  </si>
  <si>
    <t>pay fixed &amp; receive float</t>
  </si>
  <si>
    <t>Interest payment</t>
  </si>
  <si>
    <t>Semi-annual</t>
  </si>
  <si>
    <t>Day count convention</t>
  </si>
  <si>
    <t>Act/360</t>
  </si>
  <si>
    <t>Contract information:</t>
  </si>
  <si>
    <t>Currency</t>
  </si>
  <si>
    <t>USD</t>
  </si>
  <si>
    <t>Start date</t>
  </si>
  <si>
    <t>End date</t>
  </si>
  <si>
    <t>Notional amount</t>
  </si>
  <si>
    <t>Fixed CF</t>
  </si>
  <si>
    <t>Floating CF</t>
  </si>
  <si>
    <t>Step 1a. Identify cash flow for floating leg</t>
  </si>
  <si>
    <t>Spot rate</t>
  </si>
  <si>
    <t>DF</t>
  </si>
  <si>
    <t>6M Fwd rate</t>
  </si>
  <si>
    <t>Time remaining (days)</t>
  </si>
  <si>
    <t>1M</t>
  </si>
  <si>
    <t>2M</t>
  </si>
  <si>
    <t>Evaluation date</t>
  </si>
  <si>
    <t>Fair value of IRS</t>
  </si>
  <si>
    <t>PV of fixed leg</t>
  </si>
  <si>
    <t>PV of floating leg</t>
  </si>
  <si>
    <t>3M</t>
  </si>
  <si>
    <t>6M</t>
  </si>
  <si>
    <t>9M</t>
  </si>
  <si>
    <t>Step 2a. Calculation of present value of future cash flows</t>
  </si>
  <si>
    <t>1Y</t>
  </si>
  <si>
    <t>2Y</t>
  </si>
  <si>
    <t>3Y</t>
  </si>
  <si>
    <t>Notional amount's feature</t>
  </si>
  <si>
    <t>Floating rate for initial period</t>
  </si>
  <si>
    <t>The valuation model mostly consist of observable valuation inputs direct or indirectly, well known to other market participants and directly observed on the market.</t>
  </si>
  <si>
    <t>Step 2b. Fair value</t>
  </si>
  <si>
    <t>Step 3: Convert fair value into local currency</t>
  </si>
  <si>
    <t>Fair value of IRS into VND</t>
  </si>
  <si>
    <t>Spot rate at 31-Jul-17</t>
  </si>
  <si>
    <t>USD discount curve</t>
  </si>
  <si>
    <t>EUR discount curve</t>
  </si>
  <si>
    <t>Rate</t>
  </si>
  <si>
    <t>Discount curve</t>
  </si>
  <si>
    <t>Discount factor of discount rate</t>
  </si>
  <si>
    <t>6M Zero curve</t>
  </si>
  <si>
    <r>
      <t>The valuation model is a classical discounted cash flows model.
The computation process consist from 3 steps:</t>
    </r>
    <r>
      <rPr>
        <b/>
        <sz val="12"/>
        <color theme="1"/>
        <rFont val="Arial"/>
        <family val="2"/>
      </rPr>
      <t xml:space="preserve">
Step1</t>
    </r>
    <r>
      <rPr>
        <sz val="12"/>
        <color theme="1"/>
        <rFont val="Arial"/>
        <family val="2"/>
      </rPr>
      <t xml:space="preserve">: estimation of all cash flows that occur after the evaluation date and till the final maturity (using zero rate to generate forward rate, if necessary).
</t>
    </r>
    <r>
      <rPr>
        <b/>
        <sz val="12"/>
        <color theme="1"/>
        <rFont val="Arial"/>
        <family val="2"/>
      </rPr>
      <t>Step 2</t>
    </r>
    <r>
      <rPr>
        <sz val="12"/>
        <color theme="1"/>
        <rFont val="Arial"/>
        <family val="2"/>
      </rPr>
      <t xml:space="preserve">: mapping of cash flows to discount factors derived from zero curves (refer to model inputs), day count convention, holiday convention and computation of discounted cash flows as a product of future cash flows and discount rate. The sum of discounted cash flows is present value of these cash flows.
</t>
    </r>
    <r>
      <rPr>
        <b/>
        <sz val="12"/>
        <color theme="1"/>
        <rFont val="Arial"/>
        <family val="2"/>
      </rPr>
      <t>Step 3</t>
    </r>
    <r>
      <rPr>
        <sz val="12"/>
        <color theme="1"/>
        <rFont val="Arial"/>
        <family val="2"/>
      </rPr>
      <t xml:space="preserve">: Convert fair value into local currency.
</t>
    </r>
    <r>
      <rPr>
        <b/>
        <sz val="12"/>
        <color theme="1"/>
        <rFont val="Arial"/>
        <family val="2"/>
      </rPr>
      <t/>
    </r>
  </si>
  <si>
    <t>CHF discount curve &amp; zero curve</t>
  </si>
  <si>
    <t>CAD discount curve &amp; zero curve</t>
  </si>
  <si>
    <t>CNY discount curve &amp; zero curve</t>
  </si>
  <si>
    <t>SGD discount curve &amp; zero curve</t>
  </si>
  <si>
    <t>AUD discount curve &amp; zero curve</t>
  </si>
  <si>
    <t>JPY discount curve &amp; zero curve</t>
  </si>
  <si>
    <t>GBP discount curve &amp; zero curve</t>
  </si>
  <si>
    <t>THB discount curve &amp; zero curve</t>
  </si>
  <si>
    <t>HKD discount curve &amp; zero curve</t>
  </si>
  <si>
    <t>VND discount curve &amp; zero curve</t>
  </si>
  <si>
    <t xml:space="preserve">Since the discounted cash flows approach is globally used method of IRS pricing, model uncertainties are negligible. The valuation uncertainties are limited to those driven by interpolation of valuation curve and are generally assessed as low. 
Model risk is due to the lack of availability of VND swap curve in Vietnam market. Therefore, VND zero curve is derived from Deposit VND par curve by using bootstrapping.
</t>
  </si>
  <si>
    <t>USD semi bond 1M Libor zero coupon yield curve</t>
  </si>
  <si>
    <t>USD semi bond 3M Libor zero coupon yield curve</t>
  </si>
  <si>
    <t>USD semi bond 6M Libor zero coupon yield curve</t>
  </si>
  <si>
    <t>USD semi bond 1Y Libor zero coupon yield curve</t>
  </si>
  <si>
    <t>EUR annual money 1M Euribor zero coupon yield curve</t>
  </si>
  <si>
    <t>EUR annual money 3M Euribor zero coupon yield curve</t>
  </si>
  <si>
    <t>EUR annual money 6M Euribor zero coupon yield curve</t>
  </si>
  <si>
    <t>EUR annual money 1Y Euribor zero coupon yield curve</t>
  </si>
  <si>
    <t>USD zero coupon yield curve</t>
  </si>
  <si>
    <t>EUR zero coupon yield curve</t>
  </si>
  <si>
    <t>CHF zero coupon yield curve</t>
  </si>
  <si>
    <t>CAD zero coupon yield curve</t>
  </si>
  <si>
    <t>CNY zero coupon yield curve</t>
  </si>
  <si>
    <t>SGD zero coupon yield curve</t>
  </si>
  <si>
    <t>AUD zero coupon yield curve</t>
  </si>
  <si>
    <t>JPY zero coupon yield curve</t>
  </si>
  <si>
    <t>GBP zero coupon yield curve</t>
  </si>
  <si>
    <t>THB zero coupon yield curve</t>
  </si>
  <si>
    <t>HKD zero coupon yield curve</t>
  </si>
  <si>
    <t>Note:</t>
  </si>
  <si>
    <t>All the information are collected from Reuter</t>
  </si>
  <si>
    <r>
      <rPr>
        <i/>
        <sz val="12"/>
        <color theme="1"/>
        <rFont val="Arial"/>
        <family val="2"/>
      </rPr>
      <t xml:space="preserve">Note: </t>
    </r>
    <r>
      <rPr>
        <sz val="12"/>
        <color theme="1"/>
        <rFont val="Arial"/>
        <family val="2"/>
      </rPr>
      <t xml:space="preserve">
- To construct accurately cash flows, it's necessary to know about day count convention and holiday convention.
- Since bid-ask spread in VND curve is quite big, receive leg will be valuated by applying bid rate and the other will apply ask rate. For other currencies, mid rate will be applied for both legs due to small spread.</t>
    </r>
  </si>
  <si>
    <t>Discount factor: available information from Reuter</t>
  </si>
  <si>
    <t>Deposit VND par rate + Risk premium</t>
  </si>
  <si>
    <t>Time remaining (months)</t>
  </si>
  <si>
    <t>Step 1b: Calculation of all future cash flows:</t>
  </si>
  <si>
    <t>reduced 10 mln in each period</t>
  </si>
  <si>
    <t>Discount rate</t>
  </si>
  <si>
    <t>Number of days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</si>
</sst>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0.00000%"/>
    <numFmt numFmtId="166" formatCode="0.0000%"/>
    <numFmt numFmtId="167" formatCode="[$-409]d\-mmm\-yy;@"/>
  </numFmts>
  <fonts count="17" x14ac:knownFonts="1">
    <font>
      <sz val="12"/>
      <color theme="1"/>
      <name val="Calibri"/>
      <family val="2"/>
      <scheme val="minor"/>
    </font>
    <font>
      <sz val="12"/>
      <color theme="1"/>
      <name val="Arial"/>
      <family val="2"/>
    </font>
    <font>
      <sz val="12"/>
      <color rgb="FFFF0000"/>
      <name val="Arial"/>
      <family val="2"/>
    </font>
    <font>
      <sz val="16"/>
      <color theme="1"/>
      <name val="Arial"/>
      <family val="2"/>
    </font>
    <font>
      <sz val="12"/>
      <color theme="0" tint="-0.499984740745262"/>
      <name val="Arial"/>
      <family val="2"/>
    </font>
    <font>
      <i/>
      <sz val="12"/>
      <color theme="1"/>
      <name val="Arial"/>
      <family val="2"/>
    </font>
    <font>
      <b/>
      <sz val="22"/>
      <color theme="1"/>
      <name val="Arial"/>
      <family val="2"/>
    </font>
    <font>
      <sz val="8"/>
      <name val="Calibri"/>
      <family val="2"/>
      <scheme val="minor"/>
    </font>
    <font>
      <b/>
      <sz val="12"/>
      <color theme="1"/>
      <name val="Arial"/>
      <family val="2"/>
    </font>
    <font>
      <b/>
      <i/>
      <sz val="12"/>
      <color theme="1"/>
      <name val="Arial"/>
      <family val="2"/>
    </font>
    <font>
      <u/>
      <sz val="12"/>
      <color theme="10"/>
      <name val="Calibri"/>
      <family val="2"/>
      <scheme val="minor"/>
    </font>
    <font>
      <u/>
      <sz val="12"/>
      <color theme="11"/>
      <name val="Calibri"/>
      <family val="2"/>
      <scheme val="minor"/>
    </font>
    <font>
      <sz val="12"/>
      <color theme="1"/>
      <name val="Arial"/>
      <family val="2"/>
    </font>
    <font>
      <b/>
      <sz val="12"/>
      <color theme="1"/>
      <name val="Arial"/>
      <family val="2"/>
    </font>
    <font>
      <u/>
      <sz val="12"/>
      <color theme="10"/>
      <name val="Arial"/>
      <family val="2"/>
    </font>
    <font>
      <sz val="12"/>
      <color theme="1"/>
      <name val="Calibri"/>
      <family val="2"/>
      <scheme val="minor"/>
    </font>
    <font>
      <i/>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4">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s>
  <cellStyleXfs count="5">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43" fontId="15" fillId="0" borderId="0" applyFont="0" applyFill="0" applyBorder="0" applyAlignment="0" applyProtection="0"/>
  </cellStyleXfs>
  <cellXfs count="77">
    <xf numFmtId="0" fontId="0" fillId="0" borderId="0" xfId="0"/>
    <xf numFmtId="0" fontId="1" fillId="2" borderId="0" xfId="0" applyFont="1" applyFill="1"/>
    <xf numFmtId="0" fontId="2" fillId="2" borderId="0" xfId="0" applyFont="1" applyFill="1"/>
    <xf numFmtId="0" fontId="1" fillId="2" borderId="0" xfId="0" applyFont="1" applyFill="1" applyAlignment="1">
      <alignment horizontal="center"/>
    </xf>
    <xf numFmtId="0" fontId="1" fillId="2" borderId="0" xfId="0" applyFont="1" applyFill="1" applyAlignment="1">
      <alignment horizontal="center"/>
    </xf>
    <xf numFmtId="0" fontId="4" fillId="2" borderId="0" xfId="0" applyFont="1" applyFill="1"/>
    <xf numFmtId="0" fontId="9" fillId="2" borderId="0" xfId="0" applyFont="1" applyFill="1"/>
    <xf numFmtId="0" fontId="1" fillId="2" borderId="1" xfId="0" applyFont="1" applyFill="1" applyBorder="1"/>
    <xf numFmtId="0" fontId="1" fillId="2" borderId="3" xfId="0" applyFont="1" applyFill="1" applyBorder="1"/>
    <xf numFmtId="0" fontId="1" fillId="2" borderId="0" xfId="0" applyFont="1" applyFill="1" applyBorder="1"/>
    <xf numFmtId="0" fontId="1" fillId="2" borderId="2" xfId="0" applyFont="1" applyFill="1" applyBorder="1"/>
    <xf numFmtId="0" fontId="5" fillId="2" borderId="0" xfId="0" applyFont="1" applyFill="1" applyAlignment="1">
      <alignment horizontal="right"/>
    </xf>
    <xf numFmtId="0" fontId="1" fillId="2" borderId="0" xfId="0" applyFont="1" applyFill="1" applyAlignment="1">
      <alignment horizontal="left"/>
    </xf>
    <xf numFmtId="0" fontId="12" fillId="2" borderId="0" xfId="0" applyFont="1" applyFill="1" applyAlignment="1">
      <alignment horizontal="center"/>
    </xf>
    <xf numFmtId="0" fontId="13" fillId="2" borderId="0" xfId="0" applyFont="1" applyFill="1"/>
    <xf numFmtId="0" fontId="14" fillId="2" borderId="0" xfId="3" applyFont="1" applyFill="1"/>
    <xf numFmtId="0" fontId="12" fillId="2" borderId="0" xfId="0" applyFont="1" applyFill="1"/>
    <xf numFmtId="0" fontId="12" fillId="2" borderId="0" xfId="0" applyFont="1" applyFill="1" applyBorder="1"/>
    <xf numFmtId="0" fontId="12" fillId="2" borderId="0" xfId="0" applyFont="1" applyFill="1" applyAlignment="1">
      <alignment wrapText="1"/>
    </xf>
    <xf numFmtId="0" fontId="1" fillId="2" borderId="0" xfId="0" applyFont="1" applyFill="1" applyAlignment="1">
      <alignment horizontal="left" vertical="top"/>
    </xf>
    <xf numFmtId="0" fontId="16" fillId="2" borderId="0" xfId="0" applyFont="1" applyFill="1"/>
    <xf numFmtId="0" fontId="12" fillId="2" borderId="0" xfId="0" applyFont="1" applyFill="1" applyAlignment="1">
      <alignment horizontal="left" indent="2"/>
    </xf>
    <xf numFmtId="0" fontId="12" fillId="2" borderId="1" xfId="0" applyFont="1" applyFill="1" applyBorder="1"/>
    <xf numFmtId="15" fontId="12" fillId="2" borderId="0" xfId="0" applyNumberFormat="1" applyFont="1" applyFill="1"/>
    <xf numFmtId="0" fontId="1" fillId="2" borderId="0" xfId="0" applyFont="1" applyFill="1" applyAlignment="1">
      <alignment horizontal="right"/>
    </xf>
    <xf numFmtId="0" fontId="12" fillId="2" borderId="0" xfId="0" applyFont="1" applyFill="1" applyAlignment="1">
      <alignment horizontal="right"/>
    </xf>
    <xf numFmtId="164" fontId="1" fillId="2" borderId="0" xfId="4" applyNumberFormat="1" applyFont="1" applyFill="1" applyAlignment="1">
      <alignment horizontal="right"/>
    </xf>
    <xf numFmtId="10" fontId="1" fillId="2" borderId="0" xfId="0" applyNumberFormat="1" applyFont="1" applyFill="1" applyAlignment="1">
      <alignment horizontal="right"/>
    </xf>
    <xf numFmtId="165" fontId="1" fillId="2" borderId="0" xfId="0" applyNumberFormat="1" applyFont="1" applyFill="1" applyAlignment="1">
      <alignment horizontal="right"/>
    </xf>
    <xf numFmtId="167" fontId="1" fillId="2" borderId="0" xfId="0" applyNumberFormat="1" applyFont="1" applyFill="1" applyAlignment="1">
      <alignment horizontal="left"/>
    </xf>
    <xf numFmtId="164" fontId="1" fillId="2" borderId="0" xfId="4" applyNumberFormat="1" applyFont="1" applyFill="1"/>
    <xf numFmtId="0" fontId="1" fillId="2" borderId="1" xfId="0" applyFont="1" applyFill="1" applyBorder="1" applyAlignment="1">
      <alignment horizontal="left"/>
    </xf>
    <xf numFmtId="166" fontId="1" fillId="2" borderId="0" xfId="0" applyNumberFormat="1" applyFont="1" applyFill="1"/>
    <xf numFmtId="166" fontId="1" fillId="2" borderId="0" xfId="0" applyNumberFormat="1" applyFont="1" applyFill="1" applyAlignment="1">
      <alignment horizontal="left"/>
    </xf>
    <xf numFmtId="2" fontId="1" fillId="2" borderId="0" xfId="0" applyNumberFormat="1" applyFont="1" applyFill="1" applyAlignment="1">
      <alignment horizontal="center"/>
    </xf>
    <xf numFmtId="164" fontId="1" fillId="2" borderId="0" xfId="0" applyNumberFormat="1" applyFont="1" applyFill="1"/>
    <xf numFmtId="164" fontId="1" fillId="3" borderId="0" xfId="0" applyNumberFormat="1" applyFont="1" applyFill="1"/>
    <xf numFmtId="166" fontId="12" fillId="2" borderId="0" xfId="0" applyNumberFormat="1" applyFont="1" applyFill="1"/>
    <xf numFmtId="0" fontId="1" fillId="0" borderId="0" xfId="0" applyFont="1" applyFill="1" applyAlignment="1">
      <alignment horizontal="right"/>
    </xf>
    <xf numFmtId="0" fontId="5" fillId="2" borderId="0" xfId="0" applyFont="1" applyFill="1"/>
    <xf numFmtId="167" fontId="1" fillId="2" borderId="0" xfId="0" applyNumberFormat="1" applyFont="1" applyFill="1"/>
    <xf numFmtId="0" fontId="1" fillId="0" borderId="0" xfId="0" applyFont="1" applyFill="1" applyAlignment="1">
      <alignment wrapText="1"/>
    </xf>
    <xf numFmtId="0" fontId="9" fillId="2" borderId="0" xfId="0" applyFont="1" applyFill="1" applyAlignment="1">
      <alignment horizontal="left" vertical="center"/>
    </xf>
    <xf numFmtId="0" fontId="1" fillId="2" borderId="1" xfId="0" applyFont="1" applyFill="1" applyBorder="1" applyAlignment="1">
      <alignment horizontal="left" vertical="center"/>
    </xf>
    <xf numFmtId="0" fontId="1" fillId="2" borderId="0" xfId="0" applyFont="1" applyFill="1" applyBorder="1" applyAlignment="1">
      <alignment horizontal="left" vertical="center"/>
    </xf>
    <xf numFmtId="0" fontId="1" fillId="2" borderId="0" xfId="0" applyFont="1" applyFill="1" applyAlignment="1">
      <alignment horizontal="left" vertical="center"/>
    </xf>
    <xf numFmtId="0" fontId="8" fillId="2" borderId="0" xfId="0" applyFont="1" applyFill="1" applyAlignment="1">
      <alignment horizontal="left" vertical="center"/>
    </xf>
    <xf numFmtId="166" fontId="12" fillId="2" borderId="0" xfId="0" applyNumberFormat="1" applyFont="1" applyFill="1" applyBorder="1"/>
    <xf numFmtId="0" fontId="1"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1" fillId="2" borderId="1" xfId="0" applyFont="1" applyFill="1" applyBorder="1" applyAlignment="1">
      <alignment vertical="center" wrapText="1"/>
    </xf>
    <xf numFmtId="0" fontId="1" fillId="2" borderId="0" xfId="0" applyFont="1" applyFill="1" applyAlignment="1">
      <alignment vertical="center" wrapText="1"/>
    </xf>
    <xf numFmtId="0" fontId="3" fillId="2" borderId="0" xfId="0" applyFont="1" applyFill="1" applyAlignment="1">
      <alignment horizont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2" fillId="2" borderId="0" xfId="0" applyFont="1" applyFill="1" applyAlignment="1">
      <alignment horizontal="left" vertical="center"/>
    </xf>
    <xf numFmtId="0" fontId="1" fillId="2" borderId="0" xfId="0" applyFont="1" applyFill="1" applyAlignment="1">
      <alignment horizontal="left" indent="2"/>
    </xf>
    <xf numFmtId="0" fontId="5" fillId="2" borderId="0" xfId="0" applyFont="1" applyFill="1" applyAlignment="1">
      <alignment horizontal="center"/>
    </xf>
    <xf numFmtId="0" fontId="1" fillId="2" borderId="0" xfId="0" applyFont="1" applyFill="1" applyAlignment="1">
      <alignment horizontal="left"/>
    </xf>
    <xf numFmtId="0" fontId="4" fillId="2" borderId="0" xfId="0" applyFont="1" applyFill="1" applyAlignment="1">
      <alignment horizontal="center"/>
    </xf>
    <xf numFmtId="0" fontId="6" fillId="2" borderId="0" xfId="0" applyFont="1" applyFill="1" applyAlignment="1">
      <alignment horizontal="center" vertical="center"/>
    </xf>
    <xf numFmtId="0" fontId="3" fillId="2" borderId="0" xfId="0" applyFont="1" applyFill="1" applyAlignment="1">
      <alignment horizontal="center"/>
    </xf>
    <xf numFmtId="0" fontId="1" fillId="2" borderId="0" xfId="0" applyFont="1" applyFill="1" applyAlignment="1">
      <alignment horizontal="left" vertical="top" wrapText="1"/>
    </xf>
    <xf numFmtId="0" fontId="12" fillId="2" borderId="0" xfId="0" applyFont="1" applyFill="1" applyAlignment="1">
      <alignment horizontal="left" vertical="top" wrapText="1"/>
    </xf>
    <xf numFmtId="0" fontId="1" fillId="0" borderId="0" xfId="0" applyFont="1" applyFill="1" applyAlignment="1">
      <alignment horizontal="left" vertical="top" wrapText="1"/>
    </xf>
    <xf numFmtId="0" fontId="12" fillId="0" borderId="0" xfId="0" applyFont="1" applyFill="1" applyAlignment="1">
      <alignment horizontal="left" vertical="top" wrapText="1"/>
    </xf>
    <xf numFmtId="0" fontId="1" fillId="2" borderId="0" xfId="0" applyFont="1" applyFill="1" applyAlignment="1">
      <alignment horizontal="left" vertical="top"/>
    </xf>
    <xf numFmtId="0" fontId="12"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horizontal="center"/>
    </xf>
    <xf numFmtId="0" fontId="12" fillId="2" borderId="0" xfId="0" applyFont="1" applyFill="1" applyBorder="1" applyAlignment="1">
      <alignment vertical="center" wrapText="1"/>
    </xf>
    <xf numFmtId="164" fontId="12" fillId="2" borderId="0" xfId="4" applyNumberFormat="1" applyFont="1" applyFill="1"/>
    <xf numFmtId="0" fontId="1" fillId="2" borderId="1" xfId="0" applyFont="1" applyFill="1" applyBorder="1" applyAlignment="1">
      <alignment horizontal="right"/>
    </xf>
    <xf numFmtId="164" fontId="12" fillId="2" borderId="0" xfId="4" applyNumberFormat="1" applyFont="1" applyFill="1" applyAlignment="1">
      <alignment horizontal="right"/>
    </xf>
    <xf numFmtId="0" fontId="1" fillId="2" borderId="1" xfId="0" applyFont="1" applyFill="1" applyBorder="1" applyAlignment="1">
      <alignment horizontal="center"/>
    </xf>
    <xf numFmtId="166" fontId="2" fillId="2" borderId="0" xfId="0" applyNumberFormat="1" applyFont="1" applyFill="1" applyAlignment="1">
      <alignment horizontal="left"/>
    </xf>
    <xf numFmtId="1" fontId="1" fillId="2" borderId="0" xfId="0" applyNumberFormat="1" applyFont="1" applyFill="1" applyAlignment="1">
      <alignment horizontal="center"/>
    </xf>
  </cellXfs>
  <cellStyles count="5">
    <cellStyle name="Comma" xfId="4" builtinId="3"/>
    <cellStyle name="Followed Hyperlink" xfId="2" builtinId="9" hidden="1"/>
    <cellStyle name="Hyperlink" xfId="1" builtinId="8" hidden="1"/>
    <cellStyle name="Hyperlink" xfId="3"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215900</xdr:colOff>
      <xdr:row>1</xdr:row>
      <xdr:rowOff>25401</xdr:rowOff>
    </xdr:from>
    <xdr:to>
      <xdr:col>4</xdr:col>
      <xdr:colOff>127000</xdr:colOff>
      <xdr:row>6</xdr:row>
      <xdr:rowOff>18883</xdr:rowOff>
    </xdr:to>
    <xdr:pic>
      <xdr:nvPicPr>
        <xdr:cNvPr id="2" name="Picture 1">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5900" y="228601"/>
          <a:ext cx="2641600" cy="1009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xdr:row>
      <xdr:rowOff>104775</xdr:rowOff>
    </xdr:from>
    <xdr:to>
      <xdr:col>6</xdr:col>
      <xdr:colOff>160774</xdr:colOff>
      <xdr:row>14</xdr:row>
      <xdr:rowOff>20997</xdr:rowOff>
    </xdr:to>
    <xdr:pic>
      <xdr:nvPicPr>
        <xdr:cNvPr id="4" name="Picture 3">
          <a:extLst>
            <a:ext uri="{FF2B5EF4-FFF2-40B4-BE49-F238E27FC236}">
              <a16:creationId xmlns=""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276225" y="3619500"/>
          <a:ext cx="4304149" cy="487722"/>
        </a:xfrm>
        <a:prstGeom prst="rect">
          <a:avLst/>
        </a:prstGeom>
      </xdr:spPr>
    </xdr:pic>
    <xdr:clientData/>
  </xdr:twoCellAnchor>
  <xdr:twoCellAnchor>
    <xdr:from>
      <xdr:col>1</xdr:col>
      <xdr:colOff>476250</xdr:colOff>
      <xdr:row>6</xdr:row>
      <xdr:rowOff>600075</xdr:rowOff>
    </xdr:from>
    <xdr:to>
      <xdr:col>4</xdr:col>
      <xdr:colOff>381000</xdr:colOff>
      <xdr:row>6</xdr:row>
      <xdr:rowOff>990600</xdr:rowOff>
    </xdr:to>
    <xdr:pic>
      <xdr:nvPicPr>
        <xdr:cNvPr id="5" name="Picture 4"/>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2475" y="1809750"/>
          <a:ext cx="239077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5:I31"/>
  <sheetViews>
    <sheetView topLeftCell="A25" workbookViewId="0">
      <selection activeCell="E55" sqref="E55"/>
    </sheetView>
  </sheetViews>
  <sheetFormatPr defaultColWidth="10.875" defaultRowHeight="15" x14ac:dyDescent="0.2"/>
  <cols>
    <col min="1" max="1" width="3.375" style="1" customWidth="1"/>
    <col min="2" max="7" width="10.875" style="1"/>
    <col min="8" max="8" width="11.5" style="1" customWidth="1"/>
    <col min="9" max="9" width="3.875" style="1" customWidth="1"/>
    <col min="10" max="16384" width="10.875" style="1"/>
  </cols>
  <sheetData>
    <row r="5" spans="2:9" x14ac:dyDescent="0.2">
      <c r="G5" s="2" t="s">
        <v>0</v>
      </c>
    </row>
    <row r="10" spans="2:9" ht="27.75" x14ac:dyDescent="0.2">
      <c r="B10" s="60" t="s">
        <v>41</v>
      </c>
      <c r="C10" s="60"/>
      <c r="D10" s="60"/>
      <c r="E10" s="60"/>
      <c r="F10" s="60"/>
      <c r="G10" s="60"/>
      <c r="H10" s="60"/>
    </row>
    <row r="11" spans="2:9" x14ac:dyDescent="0.2">
      <c r="B11" s="57" t="s">
        <v>24</v>
      </c>
      <c r="C11" s="57"/>
      <c r="D11" s="57"/>
      <c r="E11" s="57"/>
      <c r="F11" s="57"/>
      <c r="G11" s="57"/>
      <c r="H11" s="57"/>
    </row>
    <row r="14" spans="2:9" x14ac:dyDescent="0.2">
      <c r="B14" s="1" t="s">
        <v>1</v>
      </c>
      <c r="E14" s="12" t="s">
        <v>22</v>
      </c>
      <c r="F14" s="58" t="s">
        <v>23</v>
      </c>
      <c r="G14" s="58"/>
      <c r="H14" s="58"/>
      <c r="I14" s="58"/>
    </row>
    <row r="15" spans="2:9" x14ac:dyDescent="0.2">
      <c r="E15" s="12"/>
      <c r="F15" s="58"/>
      <c r="G15" s="58"/>
      <c r="H15" s="58"/>
      <c r="I15" s="58"/>
    </row>
    <row r="16" spans="2:9" x14ac:dyDescent="0.2">
      <c r="E16" s="5"/>
      <c r="F16" s="59"/>
      <c r="G16" s="59"/>
      <c r="H16" s="59"/>
      <c r="I16" s="59"/>
    </row>
    <row r="17" spans="2:9" x14ac:dyDescent="0.2">
      <c r="E17" s="5"/>
      <c r="F17" s="59"/>
      <c r="G17" s="59"/>
      <c r="H17" s="59"/>
      <c r="I17" s="59"/>
    </row>
    <row r="20" spans="2:9" x14ac:dyDescent="0.2">
      <c r="B20" s="1" t="s">
        <v>2</v>
      </c>
      <c r="F20" s="1" t="s">
        <v>29</v>
      </c>
      <c r="G20" s="4"/>
      <c r="H20" s="3"/>
      <c r="I20" s="3"/>
    </row>
    <row r="21" spans="2:9" x14ac:dyDescent="0.2">
      <c r="B21" s="1" t="s">
        <v>25</v>
      </c>
      <c r="G21" s="4" t="s">
        <v>30</v>
      </c>
      <c r="H21" s="3"/>
      <c r="I21" s="3"/>
    </row>
    <row r="22" spans="2:9" x14ac:dyDescent="0.2">
      <c r="B22" s="1" t="s">
        <v>26</v>
      </c>
      <c r="G22" s="13" t="s">
        <v>28</v>
      </c>
      <c r="H22" s="3"/>
      <c r="I22" s="3"/>
    </row>
    <row r="23" spans="2:9" x14ac:dyDescent="0.2">
      <c r="B23" s="1" t="s">
        <v>27</v>
      </c>
      <c r="G23" s="13" t="s">
        <v>28</v>
      </c>
      <c r="H23" s="3"/>
      <c r="I23" s="3"/>
    </row>
    <row r="27" spans="2:9" ht="15.75" x14ac:dyDescent="0.25">
      <c r="B27" s="14" t="s">
        <v>31</v>
      </c>
    </row>
    <row r="28" spans="2:9" x14ac:dyDescent="0.2">
      <c r="B28" s="15" t="s">
        <v>32</v>
      </c>
      <c r="C28" s="16"/>
      <c r="D28" s="16"/>
      <c r="E28" s="15" t="s">
        <v>33</v>
      </c>
    </row>
    <row r="29" spans="2:9" x14ac:dyDescent="0.2">
      <c r="B29" s="15" t="s">
        <v>34</v>
      </c>
      <c r="C29" s="16"/>
      <c r="D29" s="16"/>
      <c r="E29" s="15" t="s">
        <v>35</v>
      </c>
    </row>
    <row r="30" spans="2:9" x14ac:dyDescent="0.2">
      <c r="B30" s="15" t="s">
        <v>36</v>
      </c>
      <c r="C30" s="16"/>
      <c r="D30" s="16"/>
      <c r="E30" s="16"/>
    </row>
    <row r="31" spans="2:9" x14ac:dyDescent="0.2">
      <c r="B31" s="15" t="s">
        <v>37</v>
      </c>
      <c r="C31" s="16"/>
      <c r="D31" s="16"/>
      <c r="E31" s="16"/>
    </row>
  </sheetData>
  <mergeCells count="6">
    <mergeCell ref="B11:H11"/>
    <mergeCell ref="F15:I15"/>
    <mergeCell ref="F16:I16"/>
    <mergeCell ref="F17:I17"/>
    <mergeCell ref="B10:H10"/>
    <mergeCell ref="F14:I14"/>
  </mergeCells>
  <phoneticPr fontId="7" type="noConversion"/>
  <hyperlinks>
    <hyperlink ref="B28" location="'1. Description'!A1" display="1. Description"/>
    <hyperlink ref="B29" location="'2. Model inputs'!A1" display="2. Model inputs"/>
    <hyperlink ref="B30" location="'3. Unobservable inputs'!A1" display="3. Unobservable inputs"/>
    <hyperlink ref="B31" location="'4. Fair Value Level'!A1" display="4. Fair value level"/>
    <hyperlink ref="E28" location="'5. Calculation formulas'!A1" display="5. Calculation formulas"/>
    <hyperlink ref="E29" location="'6. Example'!A1" display="6. Example"/>
  </hyperlink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3:J11"/>
  <sheetViews>
    <sheetView workbookViewId="0">
      <selection activeCell="B7" sqref="B7:J7"/>
    </sheetView>
  </sheetViews>
  <sheetFormatPr defaultColWidth="10.875" defaultRowHeight="15" x14ac:dyDescent="0.2"/>
  <cols>
    <col min="1" max="1" width="2.875" style="1" customWidth="1"/>
    <col min="2" max="8" width="10.875" style="1"/>
    <col min="9" max="9" width="3.625" style="1" customWidth="1"/>
    <col min="10" max="16384" width="10.875" style="1"/>
  </cols>
  <sheetData>
    <row r="3" spans="2:10" ht="20.25" x14ac:dyDescent="0.3">
      <c r="B3" s="61" t="str">
        <f>MAIN!B10</f>
        <v>Valuation model for IRS</v>
      </c>
      <c r="C3" s="61"/>
      <c r="D3" s="61"/>
      <c r="E3" s="61"/>
      <c r="F3" s="61"/>
      <c r="G3" s="61"/>
      <c r="H3" s="61"/>
    </row>
    <row r="5" spans="2:10" x14ac:dyDescent="0.2">
      <c r="B5" s="6" t="s">
        <v>20</v>
      </c>
    </row>
    <row r="7" spans="2:10" ht="153" customHeight="1" x14ac:dyDescent="0.2">
      <c r="B7" s="62" t="s">
        <v>99</v>
      </c>
      <c r="C7" s="63"/>
      <c r="D7" s="63"/>
      <c r="E7" s="63"/>
      <c r="F7" s="63"/>
      <c r="G7" s="63"/>
      <c r="H7" s="63"/>
      <c r="I7" s="63"/>
      <c r="J7" s="63"/>
    </row>
    <row r="8" spans="2:10" ht="90.75" customHeight="1" x14ac:dyDescent="0.2">
      <c r="B8" s="62" t="s">
        <v>132</v>
      </c>
      <c r="C8" s="66"/>
      <c r="D8" s="66"/>
      <c r="E8" s="66"/>
      <c r="F8" s="66"/>
      <c r="G8" s="66"/>
      <c r="H8" s="66"/>
      <c r="I8" s="66"/>
      <c r="J8" s="66"/>
    </row>
    <row r="9" spans="2:10" x14ac:dyDescent="0.2">
      <c r="B9" s="6" t="s">
        <v>21</v>
      </c>
    </row>
    <row r="11" spans="2:10" ht="102.75" customHeight="1" x14ac:dyDescent="0.2">
      <c r="B11" s="64" t="s">
        <v>110</v>
      </c>
      <c r="C11" s="65"/>
      <c r="D11" s="65"/>
      <c r="E11" s="65"/>
      <c r="F11" s="65"/>
      <c r="G11" s="65"/>
      <c r="H11" s="65"/>
      <c r="I11" s="65"/>
      <c r="J11" s="65"/>
    </row>
  </sheetData>
  <mergeCells count="4">
    <mergeCell ref="B3:H3"/>
    <mergeCell ref="B7:J7"/>
    <mergeCell ref="B11:J11"/>
    <mergeCell ref="B8:J8"/>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3:M50"/>
  <sheetViews>
    <sheetView workbookViewId="0">
      <selection activeCell="B35" sqref="B35"/>
    </sheetView>
  </sheetViews>
  <sheetFormatPr defaultColWidth="10.875" defaultRowHeight="15" x14ac:dyDescent="0.2"/>
  <cols>
    <col min="1" max="1" width="3" style="1" customWidth="1"/>
    <col min="2" max="2" width="10.875" style="45"/>
    <col min="3" max="3" width="22.75" style="1" customWidth="1"/>
    <col min="4" max="7" width="10.875" style="1"/>
    <col min="8" max="8" width="25" style="1" customWidth="1"/>
    <col min="9" max="9" width="3.375" style="1" customWidth="1"/>
    <col min="10" max="16384" width="10.875" style="1"/>
  </cols>
  <sheetData>
    <row r="3" spans="2:8" ht="20.25" x14ac:dyDescent="0.3">
      <c r="B3" s="53" t="str">
        <f>MAIN!B10</f>
        <v>Valuation model for IRS</v>
      </c>
      <c r="C3" s="52"/>
      <c r="D3" s="52"/>
      <c r="E3" s="52"/>
      <c r="F3" s="52"/>
      <c r="G3" s="52"/>
      <c r="H3" s="52"/>
    </row>
    <row r="6" spans="2:8" x14ac:dyDescent="0.2">
      <c r="B6" s="42" t="s">
        <v>5</v>
      </c>
      <c r="H6" s="11" t="s">
        <v>8</v>
      </c>
    </row>
    <row r="8" spans="2:8" x14ac:dyDescent="0.2">
      <c r="B8" s="43" t="s">
        <v>3</v>
      </c>
      <c r="C8" s="8"/>
      <c r="D8" s="7" t="s">
        <v>4</v>
      </c>
      <c r="E8" s="7"/>
      <c r="F8" s="7"/>
      <c r="G8" s="7"/>
      <c r="H8" s="7"/>
    </row>
    <row r="9" spans="2:8" x14ac:dyDescent="0.2">
      <c r="B9" s="44" t="s">
        <v>38</v>
      </c>
      <c r="C9" s="10"/>
      <c r="D9" s="1" t="s">
        <v>111</v>
      </c>
    </row>
    <row r="10" spans="2:8" x14ac:dyDescent="0.2">
      <c r="C10" s="10"/>
      <c r="D10" s="1" t="s">
        <v>112</v>
      </c>
    </row>
    <row r="11" spans="2:8" x14ac:dyDescent="0.2">
      <c r="C11" s="10"/>
      <c r="D11" s="1" t="s">
        <v>113</v>
      </c>
    </row>
    <row r="12" spans="2:8" x14ac:dyDescent="0.2">
      <c r="C12" s="10"/>
      <c r="D12" s="1" t="s">
        <v>114</v>
      </c>
    </row>
    <row r="13" spans="2:8" x14ac:dyDescent="0.2">
      <c r="B13" s="44" t="s">
        <v>42</v>
      </c>
      <c r="C13" s="10"/>
      <c r="D13" s="1" t="s">
        <v>115</v>
      </c>
    </row>
    <row r="14" spans="2:8" x14ac:dyDescent="0.2">
      <c r="B14" s="44"/>
      <c r="C14" s="10"/>
      <c r="D14" s="1" t="s">
        <v>116</v>
      </c>
    </row>
    <row r="15" spans="2:8" x14ac:dyDescent="0.2">
      <c r="B15" s="44"/>
      <c r="C15" s="10"/>
      <c r="D15" s="1" t="s">
        <v>117</v>
      </c>
    </row>
    <row r="16" spans="2:8" x14ac:dyDescent="0.2">
      <c r="B16" s="44"/>
      <c r="C16" s="10"/>
      <c r="D16" s="1" t="s">
        <v>118</v>
      </c>
    </row>
    <row r="17" spans="2:13" x14ac:dyDescent="0.2">
      <c r="B17" s="44" t="s">
        <v>93</v>
      </c>
      <c r="C17" s="10"/>
      <c r="D17" s="1" t="s">
        <v>119</v>
      </c>
    </row>
    <row r="18" spans="2:13" x14ac:dyDescent="0.2">
      <c r="B18" s="44" t="s">
        <v>94</v>
      </c>
      <c r="C18" s="10"/>
      <c r="D18" s="1" t="s">
        <v>120</v>
      </c>
    </row>
    <row r="19" spans="2:13" x14ac:dyDescent="0.2">
      <c r="B19" s="44" t="s">
        <v>109</v>
      </c>
      <c r="C19" s="10"/>
      <c r="D19" s="1" t="s">
        <v>134</v>
      </c>
    </row>
    <row r="20" spans="2:13" x14ac:dyDescent="0.2">
      <c r="B20" s="44" t="s">
        <v>100</v>
      </c>
      <c r="C20" s="10"/>
      <c r="D20" s="1" t="s">
        <v>121</v>
      </c>
    </row>
    <row r="21" spans="2:13" x14ac:dyDescent="0.2">
      <c r="B21" s="44" t="s">
        <v>101</v>
      </c>
      <c r="C21" s="10"/>
      <c r="D21" s="1" t="s">
        <v>122</v>
      </c>
    </row>
    <row r="22" spans="2:13" x14ac:dyDescent="0.2">
      <c r="B22" s="44" t="s">
        <v>102</v>
      </c>
      <c r="C22" s="10"/>
      <c r="D22" s="1" t="s">
        <v>123</v>
      </c>
    </row>
    <row r="23" spans="2:13" x14ac:dyDescent="0.2">
      <c r="B23" s="45" t="s">
        <v>103</v>
      </c>
      <c r="C23" s="10"/>
      <c r="D23" s="1" t="s">
        <v>124</v>
      </c>
    </row>
    <row r="24" spans="2:13" x14ac:dyDescent="0.2">
      <c r="B24" s="45" t="s">
        <v>104</v>
      </c>
      <c r="C24" s="10"/>
      <c r="D24" s="1" t="s">
        <v>125</v>
      </c>
    </row>
    <row r="25" spans="2:13" x14ac:dyDescent="0.2">
      <c r="B25" s="45" t="s">
        <v>105</v>
      </c>
      <c r="C25" s="10"/>
      <c r="D25" s="1" t="s">
        <v>126</v>
      </c>
    </row>
    <row r="26" spans="2:13" x14ac:dyDescent="0.2">
      <c r="B26" s="45" t="s">
        <v>106</v>
      </c>
      <c r="C26" s="10"/>
      <c r="D26" s="1" t="s">
        <v>127</v>
      </c>
    </row>
    <row r="27" spans="2:13" x14ac:dyDescent="0.2">
      <c r="B27" s="45" t="s">
        <v>107</v>
      </c>
      <c r="C27" s="10"/>
      <c r="D27" s="1" t="s">
        <v>128</v>
      </c>
    </row>
    <row r="28" spans="2:13" x14ac:dyDescent="0.2">
      <c r="B28" s="45" t="s">
        <v>108</v>
      </c>
      <c r="C28" s="10"/>
      <c r="D28" s="1" t="s">
        <v>129</v>
      </c>
    </row>
    <row r="29" spans="2:13" x14ac:dyDescent="0.2">
      <c r="C29" s="10"/>
    </row>
    <row r="30" spans="2:13" x14ac:dyDescent="0.2">
      <c r="B30" s="54" t="s">
        <v>130</v>
      </c>
    </row>
    <row r="31" spans="2:13" ht="15" customHeight="1" x14ac:dyDescent="0.2">
      <c r="B31" s="68"/>
      <c r="C31" s="68"/>
      <c r="D31" s="68"/>
      <c r="E31" s="68"/>
      <c r="F31" s="68"/>
      <c r="G31" s="68"/>
      <c r="H31" s="68"/>
      <c r="I31" s="68"/>
      <c r="J31" s="68"/>
      <c r="K31" s="68"/>
      <c r="L31" s="68"/>
      <c r="M31" s="68"/>
    </row>
    <row r="32" spans="2:13" x14ac:dyDescent="0.2">
      <c r="B32" s="55" t="s">
        <v>131</v>
      </c>
      <c r="C32" s="2"/>
      <c r="D32" s="2"/>
      <c r="E32" s="2"/>
      <c r="F32" s="2"/>
      <c r="G32" s="2"/>
      <c r="H32" s="2"/>
      <c r="I32" s="2"/>
      <c r="J32" s="2"/>
      <c r="K32" s="2"/>
      <c r="L32" s="2"/>
      <c r="M32" s="2"/>
    </row>
    <row r="34" spans="2:8" x14ac:dyDescent="0.2">
      <c r="B34" s="42" t="s">
        <v>6</v>
      </c>
      <c r="H34" s="11" t="s">
        <v>8</v>
      </c>
    </row>
    <row r="36" spans="2:8" x14ac:dyDescent="0.2">
      <c r="B36" s="43" t="s">
        <v>3</v>
      </c>
      <c r="C36" s="8"/>
      <c r="D36" s="7" t="s">
        <v>7</v>
      </c>
      <c r="E36" s="7"/>
      <c r="F36" s="7"/>
      <c r="G36" s="7"/>
      <c r="H36" s="7"/>
    </row>
    <row r="37" spans="2:8" x14ac:dyDescent="0.2">
      <c r="B37" s="44"/>
      <c r="C37" s="10"/>
    </row>
    <row r="38" spans="2:8" x14ac:dyDescent="0.2">
      <c r="B38" s="44"/>
      <c r="C38" s="10"/>
    </row>
    <row r="39" spans="2:8" x14ac:dyDescent="0.2">
      <c r="B39" s="44"/>
      <c r="C39" s="10"/>
    </row>
    <row r="40" spans="2:8" x14ac:dyDescent="0.2">
      <c r="B40" s="44"/>
      <c r="C40" s="10"/>
    </row>
    <row r="41" spans="2:8" x14ac:dyDescent="0.2">
      <c r="B41" s="44"/>
      <c r="C41" s="10"/>
    </row>
    <row r="42" spans="2:8" x14ac:dyDescent="0.2">
      <c r="B42" s="44"/>
      <c r="C42" s="10"/>
    </row>
    <row r="43" spans="2:8" x14ac:dyDescent="0.2">
      <c r="B43" s="44"/>
      <c r="C43" s="10"/>
    </row>
    <row r="44" spans="2:8" x14ac:dyDescent="0.2">
      <c r="B44" s="44"/>
      <c r="C44" s="10"/>
    </row>
    <row r="45" spans="2:8" x14ac:dyDescent="0.2">
      <c r="B45" s="44"/>
      <c r="C45" s="10"/>
    </row>
    <row r="48" spans="2:8" ht="15.75" x14ac:dyDescent="0.2">
      <c r="B48" s="46" t="s">
        <v>9</v>
      </c>
    </row>
    <row r="50" spans="2:13" ht="206.25" customHeight="1" x14ac:dyDescent="0.2">
      <c r="B50" s="67" t="s">
        <v>39</v>
      </c>
      <c r="C50" s="67"/>
      <c r="D50" s="67"/>
      <c r="E50" s="67"/>
      <c r="F50" s="67"/>
      <c r="G50" s="67"/>
      <c r="H50" s="67"/>
      <c r="I50" s="67"/>
      <c r="J50" s="67"/>
      <c r="K50" s="67"/>
      <c r="L50" s="67"/>
      <c r="M50" s="67"/>
    </row>
  </sheetData>
  <mergeCells count="2">
    <mergeCell ref="B50:M50"/>
    <mergeCell ref="B31:M3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3:H12"/>
  <sheetViews>
    <sheetView workbookViewId="0">
      <selection activeCell="H25" sqref="H25"/>
    </sheetView>
  </sheetViews>
  <sheetFormatPr defaultColWidth="10.875" defaultRowHeight="15" x14ac:dyDescent="0.2"/>
  <cols>
    <col min="1" max="1" width="2.375" style="1" customWidth="1"/>
    <col min="2" max="8" width="10.875" style="1"/>
    <col min="9" max="9" width="3.875" style="1" customWidth="1"/>
    <col min="10" max="16384" width="10.875" style="1"/>
  </cols>
  <sheetData>
    <row r="3" spans="2:8" ht="20.25" x14ac:dyDescent="0.3">
      <c r="B3" s="61" t="str">
        <f>MAIN!B10</f>
        <v>Valuation model for IRS</v>
      </c>
      <c r="C3" s="61"/>
      <c r="D3" s="61"/>
      <c r="E3" s="61"/>
      <c r="F3" s="61"/>
      <c r="G3" s="61"/>
      <c r="H3" s="61"/>
    </row>
    <row r="5" spans="2:8" x14ac:dyDescent="0.2">
      <c r="B5" s="6" t="s">
        <v>10</v>
      </c>
    </row>
    <row r="7" spans="2:8" ht="159.94999999999999" customHeight="1" x14ac:dyDescent="0.2">
      <c r="B7" s="63" t="s">
        <v>43</v>
      </c>
      <c r="C7" s="62"/>
      <c r="D7" s="62"/>
      <c r="E7" s="62"/>
      <c r="F7" s="62"/>
      <c r="G7" s="62"/>
      <c r="H7" s="62"/>
    </row>
    <row r="10" spans="2:8" x14ac:dyDescent="0.2">
      <c r="B10" s="6" t="s">
        <v>11</v>
      </c>
    </row>
    <row r="12" spans="2:8" x14ac:dyDescent="0.2">
      <c r="B12" s="1" t="s">
        <v>12</v>
      </c>
    </row>
  </sheetData>
  <mergeCells count="2">
    <mergeCell ref="B3:H3"/>
    <mergeCell ref="B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3:H16"/>
  <sheetViews>
    <sheetView workbookViewId="0">
      <selection activeCell="D32" sqref="D32"/>
    </sheetView>
  </sheetViews>
  <sheetFormatPr defaultColWidth="10.875" defaultRowHeight="15" x14ac:dyDescent="0.2"/>
  <cols>
    <col min="1" max="1" width="3.5" style="1" customWidth="1"/>
    <col min="2" max="8" width="10.875" style="1"/>
    <col min="9" max="9" width="2" style="1" customWidth="1"/>
    <col min="10" max="16384" width="10.875" style="1"/>
  </cols>
  <sheetData>
    <row r="3" spans="2:8" ht="20.25" x14ac:dyDescent="0.3">
      <c r="B3" s="61" t="str">
        <f>MAIN!B10</f>
        <v>Valuation model for IRS</v>
      </c>
      <c r="C3" s="61"/>
      <c r="D3" s="61"/>
      <c r="E3" s="61"/>
      <c r="F3" s="61"/>
      <c r="G3" s="61"/>
      <c r="H3" s="61"/>
    </row>
    <row r="5" spans="2:8" x14ac:dyDescent="0.2">
      <c r="B5" s="6" t="s">
        <v>13</v>
      </c>
    </row>
    <row r="7" spans="2:8" x14ac:dyDescent="0.2">
      <c r="B7" s="16" t="s">
        <v>40</v>
      </c>
    </row>
    <row r="8" spans="2:8" x14ac:dyDescent="0.2">
      <c r="B8" s="69"/>
      <c r="C8" s="69"/>
      <c r="D8" s="69"/>
      <c r="E8" s="69"/>
      <c r="F8" s="69"/>
      <c r="G8" s="69"/>
      <c r="H8" s="69"/>
    </row>
    <row r="11" spans="2:8" x14ac:dyDescent="0.2">
      <c r="B11" s="1" t="s">
        <v>14</v>
      </c>
    </row>
    <row r="12" spans="2:8" ht="15" customHeight="1" x14ac:dyDescent="0.2">
      <c r="B12" s="63" t="s">
        <v>88</v>
      </c>
      <c r="C12" s="63"/>
      <c r="D12" s="63"/>
      <c r="E12" s="63"/>
      <c r="F12" s="63"/>
      <c r="G12" s="63"/>
      <c r="H12" s="63"/>
    </row>
    <row r="13" spans="2:8" x14ac:dyDescent="0.2">
      <c r="B13" s="63"/>
      <c r="C13" s="63"/>
      <c r="D13" s="63"/>
      <c r="E13" s="63"/>
      <c r="F13" s="63"/>
      <c r="G13" s="63"/>
      <c r="H13" s="63"/>
    </row>
    <row r="14" spans="2:8" x14ac:dyDescent="0.2">
      <c r="B14" s="63"/>
      <c r="C14" s="63"/>
      <c r="D14" s="63"/>
      <c r="E14" s="63"/>
      <c r="F14" s="63"/>
      <c r="G14" s="63"/>
      <c r="H14" s="63"/>
    </row>
    <row r="15" spans="2:8" x14ac:dyDescent="0.2">
      <c r="B15" s="63"/>
      <c r="C15" s="63"/>
      <c r="D15" s="63"/>
      <c r="E15" s="63"/>
      <c r="F15" s="63"/>
      <c r="G15" s="63"/>
      <c r="H15" s="63"/>
    </row>
    <row r="16" spans="2:8" x14ac:dyDescent="0.2">
      <c r="B16" s="63"/>
      <c r="C16" s="63"/>
      <c r="D16" s="63"/>
      <c r="E16" s="63"/>
      <c r="F16" s="63"/>
      <c r="G16" s="63"/>
      <c r="H16" s="63"/>
    </row>
  </sheetData>
  <mergeCells count="3">
    <mergeCell ref="B3:H3"/>
    <mergeCell ref="B8:H8"/>
    <mergeCell ref="B12:H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3:J22"/>
  <sheetViews>
    <sheetView tabSelected="1" workbookViewId="0">
      <selection activeCell="I18" sqref="I18"/>
    </sheetView>
  </sheetViews>
  <sheetFormatPr defaultColWidth="10.875" defaultRowHeight="15" x14ac:dyDescent="0.2"/>
  <cols>
    <col min="1" max="1" width="3.625" style="1" customWidth="1"/>
    <col min="2" max="16384" width="10.875" style="1"/>
  </cols>
  <sheetData>
    <row r="3" spans="2:10" ht="20.25" x14ac:dyDescent="0.3">
      <c r="B3" s="61" t="str">
        <f>MAIN!B10</f>
        <v>Valuation model for IRS</v>
      </c>
      <c r="C3" s="61"/>
      <c r="D3" s="61"/>
      <c r="E3" s="61"/>
      <c r="F3" s="61"/>
      <c r="G3" s="61"/>
      <c r="H3" s="61"/>
    </row>
    <row r="5" spans="2:10" x14ac:dyDescent="0.2">
      <c r="B5" s="6" t="s">
        <v>15</v>
      </c>
    </row>
    <row r="7" spans="2:10" ht="86.25" customHeight="1" x14ac:dyDescent="0.2">
      <c r="B7" s="63" t="s">
        <v>46</v>
      </c>
      <c r="C7" s="63"/>
      <c r="D7" s="63"/>
      <c r="E7" s="63"/>
      <c r="F7" s="63"/>
      <c r="G7" s="63"/>
      <c r="H7" s="63"/>
      <c r="I7" s="63"/>
      <c r="J7" s="63"/>
    </row>
    <row r="8" spans="2:10" s="19" customFormat="1" ht="60" customHeight="1" x14ac:dyDescent="0.25">
      <c r="B8" s="63" t="s">
        <v>45</v>
      </c>
      <c r="C8" s="63"/>
      <c r="D8" s="63"/>
      <c r="E8" s="63"/>
      <c r="F8" s="63"/>
      <c r="G8" s="63"/>
      <c r="H8" s="63"/>
      <c r="I8" s="63"/>
      <c r="J8" s="63"/>
    </row>
    <row r="11" spans="2:10" ht="15.75" x14ac:dyDescent="0.25">
      <c r="B11" s="14" t="s">
        <v>47</v>
      </c>
    </row>
    <row r="16" spans="2:10" x14ac:dyDescent="0.2">
      <c r="B16" s="16" t="s">
        <v>44</v>
      </c>
    </row>
    <row r="17" spans="2:7" x14ac:dyDescent="0.2">
      <c r="B17" s="21" t="s">
        <v>48</v>
      </c>
    </row>
    <row r="18" spans="2:7" x14ac:dyDescent="0.2">
      <c r="B18" s="56" t="s">
        <v>133</v>
      </c>
    </row>
    <row r="22" spans="2:7" ht="15.75" x14ac:dyDescent="0.25">
      <c r="G22"/>
    </row>
  </sheetData>
  <mergeCells count="3">
    <mergeCell ref="B3:H3"/>
    <mergeCell ref="B7:J7"/>
    <mergeCell ref="B8:J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3:V60"/>
  <sheetViews>
    <sheetView workbookViewId="0">
      <selection activeCell="D57" sqref="D57"/>
    </sheetView>
  </sheetViews>
  <sheetFormatPr defaultColWidth="10.875" defaultRowHeight="15" x14ac:dyDescent="0.2"/>
  <cols>
    <col min="1" max="1" width="3.125" style="1" customWidth="1"/>
    <col min="2" max="2" width="28.625" style="1" customWidth="1"/>
    <col min="3" max="3" width="21" style="1" customWidth="1"/>
    <col min="4" max="4" width="18.125" style="1" customWidth="1"/>
    <col min="5" max="5" width="13.375" style="1" customWidth="1"/>
    <col min="6" max="6" width="11.5" style="1" customWidth="1"/>
    <col min="7" max="7" width="13.625" style="1" bestFit="1" customWidth="1"/>
    <col min="8" max="8" width="15.125" style="1" customWidth="1"/>
    <col min="9" max="9" width="10.875" style="1"/>
    <col min="10" max="10" width="14.25" style="1" bestFit="1" customWidth="1"/>
    <col min="11" max="11" width="10.875" style="1"/>
    <col min="12" max="12" width="17" style="1" bestFit="1" customWidth="1"/>
    <col min="13" max="14" width="10.875" style="1"/>
    <col min="15" max="15" width="13.25" style="1" bestFit="1" customWidth="1"/>
    <col min="16" max="16384" width="10.875" style="1"/>
  </cols>
  <sheetData>
    <row r="3" spans="2:22" ht="20.25" x14ac:dyDescent="0.3">
      <c r="B3" s="61" t="str">
        <f>MAIN!B10</f>
        <v>Valuation model for IRS</v>
      </c>
      <c r="C3" s="61"/>
      <c r="D3" s="61"/>
      <c r="E3" s="61"/>
      <c r="F3" s="61"/>
      <c r="G3" s="61"/>
      <c r="H3" s="61"/>
      <c r="I3" s="61"/>
      <c r="J3" s="61"/>
    </row>
    <row r="5" spans="2:22" x14ac:dyDescent="0.2">
      <c r="B5" s="6" t="s">
        <v>16</v>
      </c>
    </row>
    <row r="7" spans="2:22" x14ac:dyDescent="0.2">
      <c r="B7" s="62" t="s">
        <v>17</v>
      </c>
      <c r="C7" s="62"/>
      <c r="D7" s="62"/>
      <c r="E7" s="62"/>
      <c r="F7" s="62"/>
      <c r="G7" s="62"/>
      <c r="H7" s="62"/>
      <c r="I7" s="62"/>
      <c r="J7" s="62"/>
    </row>
    <row r="10" spans="2:22" x14ac:dyDescent="0.2">
      <c r="B10" s="6" t="s">
        <v>18</v>
      </c>
      <c r="F10" s="9" t="s">
        <v>96</v>
      </c>
      <c r="G10" s="17"/>
      <c r="H10" s="17"/>
      <c r="I10" s="17"/>
      <c r="J10" s="9" t="s">
        <v>98</v>
      </c>
    </row>
    <row r="11" spans="2:22" x14ac:dyDescent="0.2">
      <c r="B11" s="22" t="s">
        <v>60</v>
      </c>
      <c r="C11" s="7"/>
      <c r="F11" s="7" t="s">
        <v>49</v>
      </c>
      <c r="G11" s="74" t="s">
        <v>95</v>
      </c>
      <c r="H11" s="74" t="s">
        <v>139</v>
      </c>
      <c r="I11" s="9"/>
      <c r="J11" s="7" t="s">
        <v>49</v>
      </c>
      <c r="K11" s="72" t="s">
        <v>95</v>
      </c>
      <c r="L11" s="74" t="s">
        <v>139</v>
      </c>
      <c r="N11" s="9"/>
      <c r="O11" s="9"/>
      <c r="P11" s="9"/>
      <c r="Q11" s="9"/>
      <c r="R11" s="9"/>
      <c r="S11" s="9"/>
      <c r="T11" s="9"/>
      <c r="U11" s="9"/>
      <c r="V11" s="9"/>
    </row>
    <row r="12" spans="2:22" x14ac:dyDescent="0.2">
      <c r="B12" s="16" t="s">
        <v>61</v>
      </c>
      <c r="C12" s="25" t="s">
        <v>62</v>
      </c>
      <c r="F12" s="23" t="s">
        <v>73</v>
      </c>
      <c r="G12" s="37">
        <v>1.2513959999999999E-2</v>
      </c>
      <c r="H12" s="1">
        <v>30</v>
      </c>
      <c r="I12" s="9"/>
      <c r="J12" s="1" t="s">
        <v>73</v>
      </c>
      <c r="K12" s="37">
        <v>1.2527440000000001E-2</v>
      </c>
      <c r="L12" s="1">
        <v>30</v>
      </c>
      <c r="N12" s="9"/>
      <c r="O12" s="9"/>
      <c r="P12" s="9"/>
      <c r="Q12" s="9"/>
      <c r="R12" s="9"/>
      <c r="S12" s="9"/>
      <c r="T12" s="9"/>
      <c r="U12" s="9"/>
      <c r="V12" s="9"/>
    </row>
    <row r="13" spans="2:22" x14ac:dyDescent="0.2">
      <c r="B13" s="1" t="s">
        <v>49</v>
      </c>
      <c r="C13" s="24" t="s">
        <v>84</v>
      </c>
      <c r="F13" s="23" t="s">
        <v>74</v>
      </c>
      <c r="G13" s="37">
        <v>1.2707420000000001E-2</v>
      </c>
      <c r="H13" s="1">
        <v>60</v>
      </c>
      <c r="I13" s="73"/>
      <c r="J13" s="37" t="s">
        <v>74</v>
      </c>
      <c r="K13" s="37">
        <v>1.3430589999999999E-2</v>
      </c>
      <c r="L13" s="1">
        <v>60</v>
      </c>
      <c r="N13" s="71"/>
      <c r="O13" s="37"/>
      <c r="P13" s="47"/>
      <c r="Q13" s="9"/>
      <c r="R13" s="9"/>
      <c r="S13" s="9"/>
      <c r="T13" s="9"/>
      <c r="U13" s="9"/>
      <c r="V13" s="9"/>
    </row>
    <row r="14" spans="2:22" x14ac:dyDescent="0.2">
      <c r="B14" s="1" t="s">
        <v>50</v>
      </c>
      <c r="C14" s="26">
        <v>50000000</v>
      </c>
      <c r="F14" s="16" t="s">
        <v>79</v>
      </c>
      <c r="G14" s="32">
        <v>1.2911010000000001E-2</v>
      </c>
      <c r="H14" s="1">
        <v>90</v>
      </c>
      <c r="I14" s="26"/>
      <c r="J14" s="37" t="s">
        <v>79</v>
      </c>
      <c r="K14" s="37">
        <v>1.413612E-2</v>
      </c>
      <c r="L14" s="1">
        <v>90</v>
      </c>
      <c r="N14" s="71"/>
      <c r="O14" s="37"/>
      <c r="P14" s="47"/>
      <c r="Q14" s="9"/>
      <c r="R14" s="9"/>
      <c r="S14" s="9"/>
      <c r="T14" s="9"/>
      <c r="U14" s="9"/>
      <c r="V14" s="9"/>
    </row>
    <row r="15" spans="2:22" x14ac:dyDescent="0.2">
      <c r="B15" s="1" t="s">
        <v>51</v>
      </c>
      <c r="C15" s="27">
        <v>2.0199999999999999E-2</v>
      </c>
      <c r="F15" s="16" t="s">
        <v>80</v>
      </c>
      <c r="G15" s="32">
        <v>1.3545730000000001E-2</v>
      </c>
      <c r="H15" s="1">
        <v>180</v>
      </c>
      <c r="I15" s="26"/>
      <c r="J15" s="37" t="s">
        <v>80</v>
      </c>
      <c r="K15" s="37">
        <v>1.4692790000000001E-2</v>
      </c>
      <c r="L15" s="1">
        <v>180</v>
      </c>
      <c r="N15" s="71"/>
      <c r="O15" s="37"/>
      <c r="P15" s="47"/>
      <c r="Q15" s="9"/>
      <c r="R15" s="9"/>
      <c r="S15" s="9"/>
      <c r="T15" s="9"/>
      <c r="U15" s="9"/>
      <c r="V15" s="9"/>
    </row>
    <row r="16" spans="2:22" x14ac:dyDescent="0.2">
      <c r="B16" s="1" t="s">
        <v>52</v>
      </c>
      <c r="C16" s="24" t="s">
        <v>53</v>
      </c>
      <c r="F16" s="16" t="s">
        <v>81</v>
      </c>
      <c r="G16" s="32">
        <v>1.4094450000000001E-2</v>
      </c>
      <c r="H16" s="1">
        <v>270</v>
      </c>
      <c r="I16" s="26"/>
      <c r="J16" s="1" t="s">
        <v>81</v>
      </c>
      <c r="K16" s="37">
        <v>1.516589E-2</v>
      </c>
      <c r="L16" s="1">
        <v>270</v>
      </c>
      <c r="N16" s="71"/>
      <c r="O16" s="37"/>
      <c r="P16" s="9"/>
      <c r="Q16" s="9"/>
      <c r="R16" s="9"/>
      <c r="S16" s="9"/>
      <c r="T16" s="9"/>
      <c r="U16" s="9"/>
      <c r="V16" s="9"/>
    </row>
    <row r="17" spans="2:22" x14ac:dyDescent="0.2">
      <c r="B17" s="1" t="s">
        <v>54</v>
      </c>
      <c r="C17" s="24" t="s">
        <v>55</v>
      </c>
      <c r="F17" s="16" t="s">
        <v>83</v>
      </c>
      <c r="G17" s="32">
        <v>1.455822E-2</v>
      </c>
      <c r="H17" s="1">
        <v>365</v>
      </c>
      <c r="I17" s="26"/>
      <c r="J17" s="37" t="s">
        <v>83</v>
      </c>
      <c r="K17" s="37">
        <v>1.559898E-2</v>
      </c>
      <c r="L17" s="1">
        <v>365</v>
      </c>
      <c r="N17" s="71"/>
      <c r="O17" s="37"/>
      <c r="P17" s="47"/>
      <c r="Q17" s="9"/>
      <c r="R17" s="9"/>
      <c r="S17" s="9"/>
      <c r="T17" s="9"/>
      <c r="U17" s="9"/>
      <c r="V17" s="9"/>
    </row>
    <row r="18" spans="2:22" x14ac:dyDescent="0.2">
      <c r="B18" s="1" t="s">
        <v>56</v>
      </c>
      <c r="C18" s="24" t="s">
        <v>57</v>
      </c>
      <c r="F18" s="1" t="s">
        <v>84</v>
      </c>
      <c r="G18" s="32">
        <v>1.5991350000000001E-2</v>
      </c>
      <c r="H18" s="1">
        <v>730</v>
      </c>
      <c r="I18" s="26"/>
      <c r="J18" s="37" t="s">
        <v>84</v>
      </c>
      <c r="K18" s="37">
        <v>1.7073709999999999E-2</v>
      </c>
      <c r="L18" s="1">
        <v>730</v>
      </c>
      <c r="N18" s="71"/>
      <c r="O18" s="37"/>
      <c r="P18" s="47"/>
      <c r="Q18" s="9"/>
      <c r="R18" s="9"/>
      <c r="S18" s="9"/>
      <c r="T18" s="9"/>
      <c r="U18" s="9"/>
      <c r="V18" s="9"/>
    </row>
    <row r="19" spans="2:22" x14ac:dyDescent="0.2">
      <c r="B19" s="1" t="s">
        <v>58</v>
      </c>
      <c r="C19" s="24" t="s">
        <v>59</v>
      </c>
      <c r="F19" s="1" t="s">
        <v>85</v>
      </c>
      <c r="G19" s="37">
        <v>1.7198890000000001E-2</v>
      </c>
      <c r="H19" s="1">
        <v>1095</v>
      </c>
      <c r="I19" s="73"/>
      <c r="J19" s="37" t="s">
        <v>85</v>
      </c>
      <c r="K19" s="37">
        <v>1.8333829999999999E-2</v>
      </c>
      <c r="L19" s="1">
        <v>1095</v>
      </c>
      <c r="N19" s="71"/>
      <c r="O19" s="37"/>
      <c r="P19" s="47"/>
      <c r="Q19" s="9"/>
      <c r="R19" s="9"/>
      <c r="S19" s="9"/>
      <c r="T19" s="9"/>
      <c r="U19" s="9"/>
      <c r="V19" s="9"/>
    </row>
    <row r="20" spans="2:22" x14ac:dyDescent="0.2">
      <c r="B20" s="18" t="s">
        <v>87</v>
      </c>
      <c r="C20" s="28">
        <v>1.3664600000000001E-2</v>
      </c>
      <c r="G20" s="37"/>
      <c r="I20" s="73"/>
      <c r="K20" s="37"/>
      <c r="N20" s="71"/>
      <c r="O20" s="37"/>
    </row>
    <row r="21" spans="2:22" x14ac:dyDescent="0.2">
      <c r="B21" s="1" t="s">
        <v>86</v>
      </c>
      <c r="C21" s="1" t="s">
        <v>137</v>
      </c>
      <c r="G21" s="37"/>
      <c r="I21" s="73"/>
      <c r="K21" s="37"/>
      <c r="N21" s="71"/>
      <c r="O21" s="37"/>
    </row>
    <row r="22" spans="2:22" x14ac:dyDescent="0.2">
      <c r="B22" s="1" t="s">
        <v>75</v>
      </c>
      <c r="C22" s="40">
        <v>42947</v>
      </c>
      <c r="G22" s="32"/>
      <c r="H22" s="32"/>
      <c r="I22" s="32"/>
    </row>
    <row r="23" spans="2:22" x14ac:dyDescent="0.2">
      <c r="B23" s="41" t="s">
        <v>92</v>
      </c>
      <c r="C23" s="38">
        <v>22740</v>
      </c>
      <c r="G23" s="32"/>
      <c r="H23" s="32"/>
      <c r="I23" s="32"/>
    </row>
    <row r="24" spans="2:22" x14ac:dyDescent="0.2">
      <c r="C24" s="24"/>
      <c r="G24" s="32"/>
      <c r="H24" s="32"/>
      <c r="I24" s="32"/>
    </row>
    <row r="25" spans="2:22" x14ac:dyDescent="0.2">
      <c r="B25" s="6" t="s">
        <v>19</v>
      </c>
    </row>
    <row r="27" spans="2:22" x14ac:dyDescent="0.2">
      <c r="B27" s="20" t="s">
        <v>68</v>
      </c>
    </row>
    <row r="29" spans="2:22" x14ac:dyDescent="0.2">
      <c r="B29" s="7" t="s">
        <v>135</v>
      </c>
      <c r="C29" s="7" t="s">
        <v>69</v>
      </c>
      <c r="D29" s="7" t="s">
        <v>70</v>
      </c>
      <c r="E29" s="7" t="s">
        <v>71</v>
      </c>
      <c r="F29" s="7" t="s">
        <v>138</v>
      </c>
    </row>
    <row r="30" spans="2:22" x14ac:dyDescent="0.2">
      <c r="B30" s="76">
        <f>(C38-$C$22)</f>
        <v>46</v>
      </c>
      <c r="C30" s="75">
        <f>K12+(B30-L12)/(L13-L12)*(K13-K12)</f>
        <v>1.3009120000000001E-2</v>
      </c>
      <c r="D30" s="33">
        <f>1/(1+C30)^(B30/360)</f>
        <v>0.99834980613458391</v>
      </c>
      <c r="E30" s="33">
        <f>C20</f>
        <v>1.3664600000000001E-2</v>
      </c>
      <c r="F30" s="75">
        <f>G12+(B30-H12)/(H13-H12)*(G13-G12)</f>
        <v>1.2617138666666666E-2</v>
      </c>
      <c r="G30" s="32"/>
    </row>
    <row r="31" spans="2:22" x14ac:dyDescent="0.2">
      <c r="B31" s="76">
        <f t="shared" ref="B31:B34" si="0">(C39-$C$22)</f>
        <v>227</v>
      </c>
      <c r="C31" s="75">
        <f>K15+(B31-L15)/(L16-L15)*(K16-K15)</f>
        <v>1.4939853333333333E-2</v>
      </c>
      <c r="D31" s="33">
        <f t="shared" ref="D31:D34" si="1">1/(1+C31)^(B31/360)</f>
        <v>0.99069285125608642</v>
      </c>
      <c r="E31" s="33">
        <f>(D30/D31-1)*360/(B31-B30)</f>
        <v>1.5372375506151541E-2</v>
      </c>
      <c r="F31" s="75">
        <f>G15+(B31-H15)/(H16-H15)*(G16-G15)</f>
        <v>1.3832283777777779E-2</v>
      </c>
      <c r="G31" s="32"/>
      <c r="I31" s="33"/>
    </row>
    <row r="32" spans="2:22" x14ac:dyDescent="0.2">
      <c r="B32" s="76">
        <f t="shared" si="0"/>
        <v>413</v>
      </c>
      <c r="C32" s="75">
        <f>K17+(B32-L17)/(L18-L17)*(K18-K17)</f>
        <v>1.579291709589041E-2</v>
      </c>
      <c r="D32" s="33">
        <f t="shared" si="1"/>
        <v>0.98218420553048125</v>
      </c>
      <c r="E32" s="33">
        <f t="shared" ref="E32:E34" si="2">(D31/D32-1)*360/(B32-B31)</f>
        <v>1.6767065152297648E-2</v>
      </c>
      <c r="F32" s="75">
        <f>G17+(B32-H17)/(H18-H17)*(G18-G17)</f>
        <v>1.4746686410958904E-2</v>
      </c>
      <c r="G32" s="32"/>
      <c r="I32" s="33"/>
    </row>
    <row r="33" spans="2:9" x14ac:dyDescent="0.2">
      <c r="B33" s="76">
        <f t="shared" si="0"/>
        <v>592</v>
      </c>
      <c r="C33" s="75">
        <f>K17+(B33-L17)/(L18-L17)*(K18-K17)</f>
        <v>1.6516140849315068E-2</v>
      </c>
      <c r="D33" s="33">
        <f t="shared" si="1"/>
        <v>0.97342156523223267</v>
      </c>
      <c r="E33" s="33">
        <f t="shared" si="2"/>
        <v>1.8104373091224573E-2</v>
      </c>
      <c r="F33" s="75">
        <f>G17+(B33-H17)/(H18-H17)*(G18-G17)</f>
        <v>1.5449509068493152E-2</v>
      </c>
      <c r="G33" s="32"/>
      <c r="I33" s="33"/>
    </row>
    <row r="34" spans="2:9" x14ac:dyDescent="0.2">
      <c r="B34" s="76">
        <f t="shared" si="0"/>
        <v>777</v>
      </c>
      <c r="C34" s="75">
        <f>K18+(B34-L18)/(L19-L18)*(K19-K18)</f>
        <v>1.723597202739726E-2</v>
      </c>
      <c r="D34" s="33">
        <f t="shared" si="1"/>
        <v>0.96378791632029892</v>
      </c>
      <c r="E34" s="33">
        <f t="shared" si="2"/>
        <v>1.9450918326946443E-2</v>
      </c>
      <c r="F34" s="75">
        <f>G18+(B34-H18)/(H19-H18)*(G19-G18)</f>
        <v>1.6146841452054795E-2</v>
      </c>
      <c r="G34" s="32"/>
      <c r="I34" s="33"/>
    </row>
    <row r="36" spans="2:9" x14ac:dyDescent="0.2">
      <c r="B36" s="39" t="s">
        <v>136</v>
      </c>
    </row>
    <row r="37" spans="2:9" x14ac:dyDescent="0.2">
      <c r="B37" s="31" t="s">
        <v>63</v>
      </c>
      <c r="C37" s="31" t="s">
        <v>64</v>
      </c>
      <c r="D37" s="7" t="s">
        <v>65</v>
      </c>
      <c r="E37" s="7" t="s">
        <v>66</v>
      </c>
      <c r="F37" s="7" t="s">
        <v>67</v>
      </c>
    </row>
    <row r="38" spans="2:9" x14ac:dyDescent="0.2">
      <c r="B38" s="29">
        <v>42828</v>
      </c>
      <c r="C38" s="29">
        <v>42993</v>
      </c>
      <c r="D38" s="30">
        <v>50000000</v>
      </c>
      <c r="E38" s="30">
        <f>D38*$C$15*(C38-B38)/360</f>
        <v>462916.66666666669</v>
      </c>
      <c r="F38" s="30">
        <f>D38*E30*(C38-B38)/360</f>
        <v>313147.08333333331</v>
      </c>
    </row>
    <row r="39" spans="2:9" x14ac:dyDescent="0.2">
      <c r="B39" s="29">
        <v>42993</v>
      </c>
      <c r="C39" s="29">
        <v>43174</v>
      </c>
      <c r="D39" s="30">
        <v>40000000</v>
      </c>
      <c r="E39" s="30">
        <f t="shared" ref="E39:E42" si="3">D39*$C$15*(C39-B39)/360</f>
        <v>406244.44444444444</v>
      </c>
      <c r="F39" s="30">
        <f t="shared" ref="F39:F42" si="4">D39*E31*(C39-B39)/360</f>
        <v>309155.55184593651</v>
      </c>
    </row>
    <row r="40" spans="2:9" x14ac:dyDescent="0.2">
      <c r="B40" s="29">
        <v>43174</v>
      </c>
      <c r="C40" s="29">
        <v>43360</v>
      </c>
      <c r="D40" s="30">
        <v>30000000</v>
      </c>
      <c r="E40" s="30">
        <f t="shared" si="3"/>
        <v>313100</v>
      </c>
      <c r="F40" s="30">
        <f t="shared" si="4"/>
        <v>259889.50986061353</v>
      </c>
    </row>
    <row r="41" spans="2:9" x14ac:dyDescent="0.2">
      <c r="B41" s="29">
        <v>43360</v>
      </c>
      <c r="C41" s="29">
        <v>43539</v>
      </c>
      <c r="D41" s="30">
        <v>20000000</v>
      </c>
      <c r="E41" s="30">
        <f t="shared" si="3"/>
        <v>200877.77777777778</v>
      </c>
      <c r="F41" s="30">
        <f t="shared" si="4"/>
        <v>180037.93240717769</v>
      </c>
    </row>
    <row r="42" spans="2:9" x14ac:dyDescent="0.2">
      <c r="B42" s="29">
        <v>43539</v>
      </c>
      <c r="C42" s="29">
        <v>43724</v>
      </c>
      <c r="D42" s="30">
        <v>10000000</v>
      </c>
      <c r="E42" s="30">
        <f t="shared" si="3"/>
        <v>103805.55555555556</v>
      </c>
      <c r="F42" s="30">
        <f t="shared" si="4"/>
        <v>99956.108069030335</v>
      </c>
    </row>
    <row r="43" spans="2:9" x14ac:dyDescent="0.2">
      <c r="B43" s="29"/>
      <c r="C43" s="29"/>
      <c r="D43" s="30"/>
      <c r="E43" s="30"/>
      <c r="F43" s="30"/>
    </row>
    <row r="45" spans="2:9" x14ac:dyDescent="0.2">
      <c r="B45" s="20" t="s">
        <v>82</v>
      </c>
    </row>
    <row r="47" spans="2:9" s="51" customFormat="1" ht="45" x14ac:dyDescent="0.25">
      <c r="B47" s="48" t="s">
        <v>63</v>
      </c>
      <c r="C47" s="48" t="s">
        <v>64</v>
      </c>
      <c r="D47" s="49" t="s">
        <v>72</v>
      </c>
      <c r="E47" s="50" t="s">
        <v>97</v>
      </c>
      <c r="F47" s="49" t="s">
        <v>77</v>
      </c>
      <c r="G47" s="49" t="s">
        <v>78</v>
      </c>
      <c r="H47" s="70"/>
      <c r="I47" s="70"/>
    </row>
    <row r="48" spans="2:9" x14ac:dyDescent="0.2">
      <c r="B48" s="29">
        <v>42828</v>
      </c>
      <c r="C48" s="29">
        <v>42993</v>
      </c>
      <c r="D48" s="34">
        <f>C48-$C$22</f>
        <v>46</v>
      </c>
      <c r="E48" s="33">
        <f>1/(1+F30)^(D48/360)</f>
        <v>0.99839917860703264</v>
      </c>
      <c r="F48" s="35">
        <f>E38*E48</f>
        <v>462175.61976350553</v>
      </c>
      <c r="G48" s="35">
        <f>F38*E48</f>
        <v>312645.79078318796</v>
      </c>
      <c r="H48" s="35"/>
      <c r="I48" s="35"/>
    </row>
    <row r="49" spans="2:9" x14ac:dyDescent="0.2">
      <c r="B49" s="29">
        <v>42993</v>
      </c>
      <c r="C49" s="29">
        <v>43174</v>
      </c>
      <c r="D49" s="34">
        <f t="shared" ref="D49:D52" si="5">C49-$C$22</f>
        <v>227</v>
      </c>
      <c r="E49" s="33">
        <f t="shared" ref="E49:E52" si="6">1/(1+F31)^(D49/360)</f>
        <v>0.99137515801321285</v>
      </c>
      <c r="F49" s="35">
        <f>E39*E49</f>
        <v>402740.65030310099</v>
      </c>
      <c r="G49" s="35">
        <f>F39*E49</f>
        <v>306489.13406192733</v>
      </c>
      <c r="H49" s="35"/>
      <c r="I49" s="35"/>
    </row>
    <row r="50" spans="2:9" x14ac:dyDescent="0.2">
      <c r="B50" s="29">
        <v>43174</v>
      </c>
      <c r="C50" s="29">
        <v>43360</v>
      </c>
      <c r="D50" s="34">
        <f t="shared" si="5"/>
        <v>413</v>
      </c>
      <c r="E50" s="33">
        <f t="shared" si="6"/>
        <v>0.98334603732789783</v>
      </c>
      <c r="F50" s="35">
        <f>E40*E50</f>
        <v>307885.64428736479</v>
      </c>
      <c r="G50" s="35">
        <f>F40*E50</f>
        <v>255561.31966452394</v>
      </c>
      <c r="H50" s="35"/>
      <c r="I50" s="35"/>
    </row>
    <row r="51" spans="2:9" x14ac:dyDescent="0.2">
      <c r="B51" s="29">
        <v>43360</v>
      </c>
      <c r="C51" s="29">
        <v>43539</v>
      </c>
      <c r="D51" s="34">
        <f t="shared" si="5"/>
        <v>592</v>
      </c>
      <c r="E51" s="33">
        <f t="shared" si="6"/>
        <v>0.97510355482603972</v>
      </c>
      <c r="F51" s="35">
        <f>E41*E51</f>
        <v>195876.63519666635</v>
      </c>
      <c r="G51" s="35">
        <f>F41*E51</f>
        <v>175555.62789376924</v>
      </c>
      <c r="H51" s="35"/>
      <c r="I51" s="35"/>
    </row>
    <row r="52" spans="2:9" x14ac:dyDescent="0.2">
      <c r="B52" s="29">
        <v>43539</v>
      </c>
      <c r="C52" s="29">
        <v>43724</v>
      </c>
      <c r="D52" s="34">
        <f t="shared" si="5"/>
        <v>777</v>
      </c>
      <c r="E52" s="33">
        <f t="shared" si="6"/>
        <v>0.96601888256833113</v>
      </c>
      <c r="F52" s="35">
        <f>E42*E52</f>
        <v>100278.1267821626</v>
      </c>
      <c r="G52" s="35">
        <f>F42*E52</f>
        <v>96559.487822724026</v>
      </c>
      <c r="H52" s="35"/>
      <c r="I52" s="35"/>
    </row>
    <row r="54" spans="2:9" x14ac:dyDescent="0.2">
      <c r="B54" s="39" t="s">
        <v>89</v>
      </c>
    </row>
    <row r="56" spans="2:9" x14ac:dyDescent="0.2">
      <c r="B56" s="16" t="s">
        <v>76</v>
      </c>
      <c r="C56" s="36">
        <f>-SUM(F48:F52)+SUM(G48:G52)</f>
        <v>-322145.31610666774</v>
      </c>
    </row>
    <row r="58" spans="2:9" x14ac:dyDescent="0.2">
      <c r="B58" s="39" t="s">
        <v>90</v>
      </c>
    </row>
    <row r="60" spans="2:9" x14ac:dyDescent="0.2">
      <c r="B60" s="1" t="s">
        <v>91</v>
      </c>
      <c r="C60" s="36">
        <f>C56*C23</f>
        <v>-7325584488.265624</v>
      </c>
    </row>
  </sheetData>
  <mergeCells count="2">
    <mergeCell ref="B3:J3"/>
    <mergeCell ref="B7:J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MAIN</vt:lpstr>
      <vt:lpstr>1. Description</vt:lpstr>
      <vt:lpstr>2. Model inputs</vt:lpstr>
      <vt:lpstr>3. Unobservable inputs</vt:lpstr>
      <vt:lpstr>4. Fair Value Level</vt:lpstr>
      <vt:lpstr>5. Calculation formulas</vt:lpstr>
      <vt:lpstr>6. Example</vt:lpstr>
      <vt:lpstr>MAIN!Print_Area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linhlt5</cp:lastModifiedBy>
  <dcterms:created xsi:type="dcterms:W3CDTF">2016-03-23T11:21:22Z</dcterms:created>
  <dcterms:modified xsi:type="dcterms:W3CDTF">2020-01-04T04:35:31Z</dcterms:modified>
</cp:coreProperties>
</file>